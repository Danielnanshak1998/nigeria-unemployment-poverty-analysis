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colors3.xml" ContentType="application/vnd.ms-office.chartcolorstyle+xml"/>
  <Override PartName="/xl/charts/colors4.xml" ContentType="application/vnd.ms-office.chartcolorstyle+xml"/>
  <Override PartName="/xl/charts/colors5.xml" ContentType="application/vnd.ms-office.chartcolorstyle+xml"/>
  <Override PartName="/xl/charts/colors6.xml" ContentType="application/vnd.ms-office.chartcolorstyle+xml"/>
  <Override PartName="/xl/charts/colors7.xml" ContentType="application/vnd.ms-office.chartcolorstyle+xml"/>
  <Override PartName="/xl/charts/colors8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charts/style3.xml" ContentType="application/vnd.ms-office.chartstyle+xml"/>
  <Override PartName="/xl/charts/style4.xml" ContentType="application/vnd.ms-office.chartstyle+xml"/>
  <Override PartName="/xl/charts/style5.xml" ContentType="application/vnd.ms-office.chartstyle+xml"/>
  <Override PartName="/xl/charts/style6.xml" ContentType="application/vnd.ms-office.chartstyle+xml"/>
  <Override PartName="/xl/charts/style7.xml" ContentType="application/vnd.ms-office.chartstyle+xml"/>
  <Override PartName="/xl/charts/style8.xml" ContentType="application/vnd.ms-office.chartsty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externalLinks/externalLink1.xml" ContentType="application/vnd.openxmlformats-officedocument.spreadsheetml.externalLink+xml"/>
  <Override PartName="/xl/metadata.xml" ContentType="application/vnd.openxmlformats-officedocument.spreadsheetml.sheetMetadata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8025" firstSheet="4" activeTab="5"/>
  </bookViews>
  <sheets>
    <sheet name="Raw_Data" sheetId="1" r:id="rId1"/>
    <sheet name="Q1 Analysis" sheetId="2" r:id="rId2"/>
    <sheet name="Q2 Analysis" sheetId="3" r:id="rId3"/>
    <sheet name="Q3 Analysis" sheetId="4" r:id="rId4"/>
    <sheet name="Q4 Analysis" sheetId="5" r:id="rId5"/>
    <sheet name="Dashboard" sheetId="6" r:id="rId6"/>
  </sheets>
  <externalReferences>
    <externalReference r:id="rId7"/>
  </externalReferences>
  <definedNames>
    <definedName name="_xlnm.Print_Area" localSheetId="5">Dashboard!$A$1:$N$60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<sst xmlns="http://schemas.openxmlformats.org/spreadsheetml/2006/main" count="255" uniqueCount="104">
  <si>
    <t>State</t>
  </si>
  <si>
    <t>Region</t>
  </si>
  <si>
    <t>Unemployment Rate 2023 (%)</t>
  </si>
  <si>
    <t>Youth Unemployment Rate 2023 (%)</t>
  </si>
  <si>
    <t>Poverty Rate 2019 (%)</t>
  </si>
  <si>
    <t>Underemployment Rate 2023 (%)</t>
  </si>
  <si>
    <t>Informal Employment Rate (%)</t>
  </si>
  <si>
    <t>Primary Economic Activity</t>
  </si>
  <si>
    <t>Labour Force Participation Rate (%)</t>
  </si>
  <si>
    <t>Abia</t>
  </si>
  <si>
    <t>South East</t>
  </si>
  <si>
    <t>Trade &amp; Services</t>
  </si>
  <si>
    <t>Adamawa</t>
  </si>
  <si>
    <t>North East</t>
  </si>
  <si>
    <t>Agriculture</t>
  </si>
  <si>
    <t>Akwa Ibom</t>
  </si>
  <si>
    <t>South South</t>
  </si>
  <si>
    <t>Oil &amp; Agriculture</t>
  </si>
  <si>
    <t>Anambra</t>
  </si>
  <si>
    <t>Trade &amp; Commerce</t>
  </si>
  <si>
    <t>Bauchi</t>
  </si>
  <si>
    <t>Bayelsa</t>
  </si>
  <si>
    <t>Oil &amp; Fishing</t>
  </si>
  <si>
    <t>Benue</t>
  </si>
  <si>
    <t>North Central</t>
  </si>
  <si>
    <t>Borno</t>
  </si>
  <si>
    <t>Agriculture (Disrupted)</t>
  </si>
  <si>
    <t>Cross River</t>
  </si>
  <si>
    <t>Agriculture &amp; Tourism</t>
  </si>
  <si>
    <t>Delta</t>
  </si>
  <si>
    <t>Oil &amp; Trade</t>
  </si>
  <si>
    <t>Ebonyi</t>
  </si>
  <si>
    <t>Edo</t>
  </si>
  <si>
    <t>Ekiti</t>
  </si>
  <si>
    <t>South West</t>
  </si>
  <si>
    <t>Public Service</t>
  </si>
  <si>
    <t>Enugu</t>
  </si>
  <si>
    <t>Trade &amp; Mining</t>
  </si>
  <si>
    <t>FCT</t>
  </si>
  <si>
    <t>Public Service &amp; ICT</t>
  </si>
  <si>
    <t>Gombe</t>
  </si>
  <si>
    <t>Imo</t>
  </si>
  <si>
    <t>Trade &amp; Oil</t>
  </si>
  <si>
    <t>Jigawa</t>
  </si>
  <si>
    <t>North West</t>
  </si>
  <si>
    <t>Kaduna</t>
  </si>
  <si>
    <t>Agriculture &amp; Industry</t>
  </si>
  <si>
    <t>Kano</t>
  </si>
  <si>
    <t>Trade &amp; Agriculture</t>
  </si>
  <si>
    <t>Katsina</t>
  </si>
  <si>
    <t>Kebbi</t>
  </si>
  <si>
    <t>Kogi</t>
  </si>
  <si>
    <t>Agriculture &amp; Mining</t>
  </si>
  <si>
    <t>Kwara</t>
  </si>
  <si>
    <t>Agriculture &amp; Trade</t>
  </si>
  <si>
    <t>Lagos</t>
  </si>
  <si>
    <t>Commerce &amp; ICT</t>
  </si>
  <si>
    <t>Nasarawa</t>
  </si>
  <si>
    <t>Niger</t>
  </si>
  <si>
    <t>Ogun</t>
  </si>
  <si>
    <t>Industry &amp; Trade</t>
  </si>
  <si>
    <t>Ondo</t>
  </si>
  <si>
    <t>Osun</t>
  </si>
  <si>
    <t>Oyo</t>
  </si>
  <si>
    <t>Plateau</t>
  </si>
  <si>
    <t>Rivers</t>
  </si>
  <si>
    <t>Sokoto</t>
  </si>
  <si>
    <t>Taraba</t>
  </si>
  <si>
    <t>Yobe</t>
  </si>
  <si>
    <t>Zamfara</t>
  </si>
  <si>
    <t>Q1 Analysis: State Unemployment Rankings (2023)</t>
  </si>
  <si>
    <t>Rank</t>
  </si>
  <si>
    <t>Unemployment rate</t>
  </si>
  <si>
    <t>Category</t>
  </si>
  <si>
    <t>National Average</t>
  </si>
  <si>
    <t>Highest State</t>
  </si>
  <si>
    <t>North Average</t>
  </si>
  <si>
    <t>South Average</t>
  </si>
  <si>
    <t>Q2 Analysis: Unemployment vs Poverty Rate by State</t>
  </si>
  <si>
    <t>Avg Unemployment (%)</t>
  </si>
  <si>
    <t>Avg Poverty (%)</t>
  </si>
  <si>
    <t>Q3 Analysis: Youth Unemployment — Top 15 States</t>
  </si>
  <si>
    <t>Youth Unemployment (%)</t>
  </si>
  <si>
    <t>vs National Average</t>
  </si>
  <si>
    <t>National Youth Avg</t>
  </si>
  <si>
    <t>15.51</t>
  </si>
  <si>
    <t>States Above 20%</t>
  </si>
  <si>
    <t>Q4 Analysis: Informal Employment vs Poverty Rate by Region</t>
  </si>
  <si>
    <t>Avg Informal Employment (%)</t>
  </si>
  <si>
    <t>Avg Underemployment (%)</t>
  </si>
  <si>
    <t>Poverty Rate (%)</t>
  </si>
  <si>
    <t>Informal Employment (%)</t>
  </si>
  <si>
    <t>Underemployment (%)</t>
  </si>
  <si>
    <t>NIGERIA UNEMPLOYMENT &amp; POVERTY CRISIS — DATA ANALYSIS 2023</t>
  </si>
  <si>
    <t>Source: NBS Labour Force Survey 2023 | NBS Poverty Report 2019 | Compiled by Daniel Emmanuel Nanshak</t>
  </si>
  <si>
    <r>
      <rPr>
        <sz val="26"/>
        <color theme="1"/>
        <rFont val="Calibri"/>
        <charset val="134"/>
        <scheme val="minor"/>
      </rPr>
      <t>18.7%</t>
    </r>
    <r>
      <rPr>
        <sz val="11"/>
        <color theme="1"/>
        <rFont val="Calibri"/>
        <charset val="134"/>
        <scheme val="minor"/>
      </rPr>
      <t xml:space="preserve">
</t>
    </r>
    <r>
      <rPr>
        <sz val="10"/>
        <color theme="1"/>
        <rFont val="Calibri"/>
        <charset val="134"/>
        <scheme val="minor"/>
      </rPr>
      <t>Highest State Unemployment (Abia)</t>
    </r>
  </si>
  <si>
    <r>
      <rPr>
        <b/>
        <sz val="26"/>
        <color theme="1"/>
        <rFont val="Calibri"/>
        <charset val="134"/>
        <scheme val="minor"/>
      </rPr>
      <t>87.7%</t>
    </r>
    <r>
      <rPr>
        <b/>
        <sz val="9"/>
        <color theme="1"/>
        <rFont val="Calibri"/>
        <charset val="134"/>
        <scheme val="minor"/>
      </rPr>
      <t xml:space="preserve">
</t>
    </r>
    <r>
      <rPr>
        <b/>
        <sz val="10"/>
        <color theme="1"/>
        <rFont val="Calibri"/>
        <charset val="134"/>
        <scheme val="minor"/>
      </rPr>
      <t>Highest Poverty Rate (Sokoto)</t>
    </r>
  </si>
  <si>
    <r>
      <rPr>
        <b/>
        <sz val="26"/>
        <color theme="1"/>
        <rFont val="Calibri"/>
        <charset val="134"/>
        <scheme val="minor"/>
      </rPr>
      <t>15.51%</t>
    </r>
    <r>
      <rPr>
        <b/>
        <sz val="9"/>
        <color theme="1"/>
        <rFont val="Calibri"/>
        <charset val="134"/>
        <scheme val="minor"/>
      </rPr>
      <t xml:space="preserve">
</t>
    </r>
    <r>
      <rPr>
        <b/>
        <sz val="10"/>
        <color theme="1"/>
        <rFont val="Calibri"/>
        <charset val="134"/>
        <scheme val="minor"/>
      </rPr>
      <t>Avg Youth Unemployment</t>
    </r>
  </si>
  <si>
    <r>
      <rPr>
        <b/>
        <sz val="26"/>
        <color theme="1"/>
        <rFont val="Calibri"/>
        <charset val="134"/>
        <scheme val="minor"/>
      </rPr>
      <t>92.7%</t>
    </r>
    <r>
      <rPr>
        <b/>
        <sz val="9"/>
        <color theme="1"/>
        <rFont val="Calibri"/>
        <charset val="134"/>
        <scheme val="minor"/>
      </rPr>
      <t xml:space="preserve">
</t>
    </r>
    <r>
      <rPr>
        <b/>
        <sz val="10"/>
        <color theme="1"/>
        <rFont val="Calibri"/>
        <charset val="134"/>
        <scheme val="minor"/>
      </rPr>
      <t>Avg Informal Employment Rate</t>
    </r>
  </si>
  <si>
    <t>Abia, FCT &amp; Rivers lead unemployment — Southern states dominate the top 3</t>
  </si>
  <si>
    <t>North West has 71% poverty but only 7.7% unemployment — most are working but still poor</t>
  </si>
  <si>
    <t>States with 95%+ informal employment all have 60%+ poverty rates</t>
  </si>
  <si>
    <t>Youth Unemployment — Top 15 States</t>
  </si>
  <si>
    <t>Data: NBS Labour Force Survey 2023 | NBS Poverty &amp; Inequality Report 2019 | For Portfolio Use Only | Daniel Emmanuel Nanshak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</si>
</sst>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0.0_ "/>
    <numFmt numFmtId="179" formatCode="0.000_ "/>
    <numFmt numFmtId="180" formatCode="0.00_ "/>
  </numFmts>
  <fonts count="38">
    <font>
      <sz val="11"/>
      <color theme="1"/>
      <name val="Calibri"/>
      <charset val="134"/>
      <scheme val="minor"/>
    </font>
    <font>
      <b/>
      <sz val="18"/>
      <color theme="0"/>
      <name val="Calibri"/>
      <charset val="134"/>
      <scheme val="minor"/>
    </font>
    <font>
      <i/>
      <sz val="9"/>
      <color theme="1"/>
      <name val="Calibri"/>
      <charset val="134"/>
      <scheme val="minor"/>
    </font>
    <font>
      <i/>
      <sz val="11"/>
      <color theme="1"/>
      <name val="Calibri"/>
      <charset val="134"/>
      <scheme val="minor"/>
    </font>
    <font>
      <sz val="26"/>
      <color theme="1"/>
      <name val="Calibri"/>
      <charset val="134"/>
      <scheme val="minor"/>
    </font>
    <font>
      <b/>
      <sz val="26"/>
      <color theme="1"/>
      <name val="Calibri"/>
      <charset val="134"/>
      <scheme val="minor"/>
    </font>
    <font>
      <i/>
      <sz val="8"/>
      <color theme="1"/>
      <name val="Calibri"/>
      <charset val="134"/>
      <scheme val="minor"/>
    </font>
    <font>
      <b/>
      <sz val="14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6"/>
      <color theme="1"/>
      <name val="Calibri"/>
      <charset val="134"/>
      <scheme val="minor"/>
    </font>
    <font>
      <sz val="16"/>
      <color theme="1"/>
      <name val="Calibri"/>
      <charset val="134"/>
      <scheme val="minor"/>
    </font>
    <font>
      <sz val="11"/>
      <color theme="1" tint="0.15"/>
      <name val="Calibri"/>
      <charset val="134"/>
      <scheme val="minor"/>
    </font>
    <font>
      <b/>
      <sz val="11"/>
      <color theme="1" tint="0.15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sz val="14"/>
      <color theme="1"/>
      <name val="Calibri"/>
      <charset val="134"/>
      <scheme val="minor"/>
    </font>
    <font>
      <sz val="12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0"/>
      <color theme="1"/>
      <name val="Calibri"/>
      <charset val="134"/>
      <scheme val="minor"/>
    </font>
    <font>
      <b/>
      <sz val="9"/>
      <color theme="1"/>
      <name val="Calibri"/>
      <charset val="134"/>
      <scheme val="minor"/>
    </font>
    <font>
      <b/>
      <sz val="10"/>
      <color theme="1"/>
      <name val="Calibri"/>
      <charset val="134"/>
      <scheme val="minor"/>
    </font>
  </fonts>
  <fills count="42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4141"/>
        <bgColor indexed="64"/>
      </patternFill>
    </fill>
    <fill>
      <patternFill patternType="solid">
        <fgColor theme="5" tint="0.6"/>
        <bgColor indexed="64"/>
      </patternFill>
    </fill>
    <fill>
      <patternFill patternType="solid">
        <fgColor theme="7" tint="0.6"/>
        <bgColor indexed="64"/>
      </patternFill>
    </fill>
    <fill>
      <patternFill patternType="solid">
        <fgColor theme="4" tint="0.6"/>
        <bgColor indexed="64"/>
      </patternFill>
    </fill>
    <fill>
      <patternFill patternType="solid">
        <fgColor theme="2" tint="-0.5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theme="4" tint="0.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43">
    <border>
      <left/>
      <right/>
      <top/>
      <bottom/>
      <diagonal/>
    </border>
    <border>
      <left style="medium">
        <color theme="8" tint="-0.5"/>
      </left>
      <right/>
      <top style="medium">
        <color theme="8" tint="-0.5"/>
      </top>
      <bottom/>
      <diagonal/>
    </border>
    <border>
      <left/>
      <right/>
      <top style="medium">
        <color theme="8" tint="-0.5"/>
      </top>
      <bottom/>
      <diagonal/>
    </border>
    <border>
      <left/>
      <right style="medium">
        <color theme="8" tint="-0.5"/>
      </right>
      <top style="medium">
        <color theme="8" tint="-0.5"/>
      </top>
      <bottom/>
      <diagonal/>
    </border>
    <border>
      <left style="medium">
        <color theme="8" tint="-0.5"/>
      </left>
      <right/>
      <top/>
      <bottom/>
      <diagonal/>
    </border>
    <border>
      <left/>
      <right style="medium">
        <color theme="8" tint="-0.5"/>
      </right>
      <top/>
      <bottom/>
      <diagonal/>
    </border>
    <border>
      <left style="medium">
        <color theme="8" tint="-0.5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medium">
        <color theme="8" tint="-0.5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theme="8" tint="-0.5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medium">
        <color theme="8" tint="-0.5"/>
      </right>
      <top style="thin">
        <color auto="1"/>
      </top>
      <bottom style="thin">
        <color auto="1"/>
      </bottom>
      <diagonal/>
    </border>
    <border>
      <left/>
      <right style="medium">
        <color theme="8" tint="-0.5"/>
      </right>
      <top style="thin">
        <color auto="1"/>
      </top>
      <bottom/>
      <diagonal/>
    </border>
    <border>
      <left/>
      <right style="medium">
        <color theme="8" tint="-0.5"/>
      </right>
      <top/>
      <bottom style="thin">
        <color auto="1"/>
      </bottom>
      <diagonal/>
    </border>
    <border>
      <left style="medium">
        <color theme="8" tint="-0.5"/>
      </left>
      <right/>
      <top/>
      <bottom style="thin">
        <color rgb="FF002060"/>
      </bottom>
      <diagonal/>
    </border>
    <border>
      <left/>
      <right/>
      <top/>
      <bottom style="thin">
        <color rgb="FF002060"/>
      </bottom>
      <diagonal/>
    </border>
    <border>
      <left/>
      <right style="medium">
        <color theme="8" tint="-0.5"/>
      </right>
      <top/>
      <bottom style="thin">
        <color rgb="FF002060"/>
      </bottom>
      <diagonal/>
    </border>
    <border>
      <left style="medium">
        <color theme="8" tint="-0.5"/>
      </left>
      <right/>
      <top/>
      <bottom style="medium">
        <color theme="8" tint="-0.5"/>
      </bottom>
      <diagonal/>
    </border>
    <border>
      <left/>
      <right/>
      <top/>
      <bottom style="medium">
        <color theme="8" tint="-0.5"/>
      </bottom>
      <diagonal/>
    </border>
    <border>
      <left/>
      <right style="medium">
        <color theme="8" tint="-0.5"/>
      </right>
      <top/>
      <bottom style="medium">
        <color theme="8" tint="-0.5"/>
      </bottom>
      <diagonal/>
    </border>
    <border>
      <left style="thin">
        <color theme="6"/>
      </left>
      <right/>
      <top style="thin">
        <color theme="6"/>
      </top>
      <bottom style="thin">
        <color theme="6" tint="0.399975585192419"/>
      </bottom>
      <diagonal/>
    </border>
    <border>
      <left/>
      <right/>
      <top style="thin">
        <color theme="6"/>
      </top>
      <bottom style="thin">
        <color theme="6" tint="0.399975585192419"/>
      </bottom>
      <diagonal/>
    </border>
    <border>
      <left/>
      <right style="thin">
        <color theme="6"/>
      </right>
      <top style="thin">
        <color theme="6"/>
      </top>
      <bottom style="thin">
        <color theme="6" tint="0.399975585192419"/>
      </bottom>
      <diagonal/>
    </border>
    <border>
      <left/>
      <right style="thin">
        <color theme="6"/>
      </right>
      <top style="thin">
        <color theme="6" tint="0.399975585192419"/>
      </top>
      <bottom style="thin">
        <color theme="6" tint="0.399975585192419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0" fillId="11" borderId="35" applyNumberFormat="0" applyFont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36" applyNumberFormat="0" applyFill="0" applyAlignment="0" applyProtection="0">
      <alignment vertical="center"/>
    </xf>
    <xf numFmtId="0" fontId="22" fillId="0" borderId="36" applyNumberFormat="0" applyFill="0" applyAlignment="0" applyProtection="0">
      <alignment vertical="center"/>
    </xf>
    <xf numFmtId="0" fontId="23" fillId="0" borderId="37" applyNumberFormat="0" applyFill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12" borderId="38" applyNumberFormat="0" applyAlignment="0" applyProtection="0">
      <alignment vertical="center"/>
    </xf>
    <xf numFmtId="0" fontId="25" fillId="13" borderId="39" applyNumberFormat="0" applyAlignment="0" applyProtection="0">
      <alignment vertical="center"/>
    </xf>
    <xf numFmtId="0" fontId="26" fillId="13" borderId="38" applyNumberFormat="0" applyAlignment="0" applyProtection="0">
      <alignment vertical="center"/>
    </xf>
    <xf numFmtId="0" fontId="27" fillId="14" borderId="40" applyNumberFormat="0" applyAlignment="0" applyProtection="0">
      <alignment vertical="center"/>
    </xf>
    <xf numFmtId="0" fontId="28" fillId="0" borderId="41" applyNumberFormat="0" applyFill="0" applyAlignment="0" applyProtection="0">
      <alignment vertical="center"/>
    </xf>
    <xf numFmtId="0" fontId="29" fillId="0" borderId="42" applyNumberFormat="0" applyFill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20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4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8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2" borderId="0" applyNumberFormat="0" applyBorder="0" applyAlignment="0" applyProtection="0">
      <alignment vertical="center"/>
    </xf>
    <xf numFmtId="0" fontId="33" fillId="33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34" fillId="35" borderId="0" applyNumberFormat="0" applyBorder="0" applyAlignment="0" applyProtection="0">
      <alignment vertical="center"/>
    </xf>
    <xf numFmtId="0" fontId="34" fillId="36" borderId="0" applyNumberFormat="0" applyBorder="0" applyAlignment="0" applyProtection="0">
      <alignment vertical="center"/>
    </xf>
    <xf numFmtId="0" fontId="33" fillId="37" borderId="0" applyNumberFormat="0" applyBorder="0" applyAlignment="0" applyProtection="0">
      <alignment vertical="center"/>
    </xf>
    <xf numFmtId="0" fontId="33" fillId="38" borderId="0" applyNumberFormat="0" applyBorder="0" applyAlignment="0" applyProtection="0">
      <alignment vertical="center"/>
    </xf>
    <xf numFmtId="0" fontId="34" fillId="39" borderId="0" applyNumberFormat="0" applyBorder="0" applyAlignment="0" applyProtection="0">
      <alignment vertical="center"/>
    </xf>
    <xf numFmtId="0" fontId="34" fillId="40" borderId="0" applyNumberFormat="0" applyBorder="0" applyAlignment="0" applyProtection="0">
      <alignment vertical="center"/>
    </xf>
    <xf numFmtId="0" fontId="33" fillId="41" borderId="0" applyNumberFormat="0" applyBorder="0" applyAlignment="0" applyProtection="0">
      <alignment vertical="center"/>
    </xf>
  </cellStyleXfs>
  <cellXfs count="99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4" fillId="4" borderId="6" xfId="0" applyFont="1" applyFill="1" applyBorder="1" applyAlignment="1">
      <alignment horizontal="center" vertical="center" wrapText="1"/>
    </xf>
    <xf numFmtId="0" fontId="0" fillId="4" borderId="7" xfId="0" applyFill="1" applyBorder="1" applyAlignment="1">
      <alignment horizontal="center" vertical="center"/>
    </xf>
    <xf numFmtId="0" fontId="0" fillId="4" borderId="8" xfId="0" applyFill="1" applyBorder="1" applyAlignment="1">
      <alignment horizontal="center" vertical="center"/>
    </xf>
    <xf numFmtId="0" fontId="5" fillId="5" borderId="9" xfId="0" applyFont="1" applyFill="1" applyBorder="1" applyAlignment="1">
      <alignment horizontal="center" vertical="center" wrapText="1"/>
    </xf>
    <xf numFmtId="0" fontId="5" fillId="5" borderId="7" xfId="0" applyFont="1" applyFill="1" applyBorder="1" applyAlignment="1">
      <alignment horizontal="center" vertical="center"/>
    </xf>
    <xf numFmtId="0" fontId="5" fillId="5" borderId="8" xfId="0" applyFont="1" applyFill="1" applyBorder="1" applyAlignment="1">
      <alignment horizontal="center" vertical="center"/>
    </xf>
    <xf numFmtId="10" fontId="5" fillId="6" borderId="9" xfId="0" applyNumberFormat="1" applyFont="1" applyFill="1" applyBorder="1" applyAlignment="1">
      <alignment horizontal="center" vertical="center" wrapText="1"/>
    </xf>
    <xf numFmtId="0" fontId="5" fillId="6" borderId="7" xfId="0" applyFont="1" applyFill="1" applyBorder="1" applyAlignment="1">
      <alignment horizontal="center" vertical="center"/>
    </xf>
    <xf numFmtId="0" fontId="5" fillId="6" borderId="8" xfId="0" applyFont="1" applyFill="1" applyBorder="1" applyAlignment="1">
      <alignment horizontal="center" vertical="center"/>
    </xf>
    <xf numFmtId="0" fontId="5" fillId="7" borderId="9" xfId="0" applyFont="1" applyFill="1" applyBorder="1" applyAlignment="1">
      <alignment horizontal="center" vertical="center" wrapText="1"/>
    </xf>
    <xf numFmtId="0" fontId="0" fillId="7" borderId="7" xfId="0" applyFill="1" applyBorder="1" applyAlignment="1">
      <alignment horizontal="center" vertical="center"/>
    </xf>
    <xf numFmtId="0" fontId="0" fillId="7" borderId="8" xfId="0" applyFill="1" applyBorder="1" applyAlignment="1">
      <alignment horizontal="center" vertical="center"/>
    </xf>
    <xf numFmtId="0" fontId="0" fillId="4" borderId="4" xfId="0" applyFill="1" applyBorder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4" borderId="10" xfId="0" applyFill="1" applyBorder="1" applyAlignment="1">
      <alignment horizontal="center" vertical="center"/>
    </xf>
    <xf numFmtId="0" fontId="5" fillId="5" borderId="11" xfId="0" applyFont="1" applyFill="1" applyBorder="1" applyAlignment="1">
      <alignment horizontal="center" vertical="center"/>
    </xf>
    <xf numFmtId="0" fontId="5" fillId="5" borderId="0" xfId="0" applyFont="1" applyFill="1" applyAlignment="1">
      <alignment horizontal="center" vertical="center"/>
    </xf>
    <xf numFmtId="0" fontId="5" fillId="5" borderId="10" xfId="0" applyFont="1" applyFill="1" applyBorder="1" applyAlignment="1">
      <alignment horizontal="center" vertical="center"/>
    </xf>
    <xf numFmtId="0" fontId="5" fillId="6" borderId="11" xfId="0" applyFont="1" applyFill="1" applyBorder="1" applyAlignment="1">
      <alignment horizontal="center" vertical="center"/>
    </xf>
    <xf numFmtId="0" fontId="5" fillId="6" borderId="0" xfId="0" applyFont="1" applyFill="1" applyAlignment="1">
      <alignment horizontal="center" vertical="center"/>
    </xf>
    <xf numFmtId="0" fontId="5" fillId="6" borderId="10" xfId="0" applyFont="1" applyFill="1" applyBorder="1" applyAlignment="1">
      <alignment horizontal="center" vertical="center"/>
    </xf>
    <xf numFmtId="0" fontId="0" fillId="7" borderId="11" xfId="0" applyFill="1" applyBorder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0" fillId="7" borderId="10" xfId="0" applyFill="1" applyBorder="1" applyAlignment="1">
      <alignment horizontal="center" vertical="center"/>
    </xf>
    <xf numFmtId="0" fontId="0" fillId="4" borderId="12" xfId="0" applyFill="1" applyBorder="1" applyAlignment="1">
      <alignment horizontal="center" vertical="center"/>
    </xf>
    <xf numFmtId="0" fontId="0" fillId="4" borderId="13" xfId="0" applyFill="1" applyBorder="1" applyAlignment="1">
      <alignment horizontal="center" vertical="center"/>
    </xf>
    <xf numFmtId="0" fontId="0" fillId="4" borderId="14" xfId="0" applyFill="1" applyBorder="1" applyAlignment="1">
      <alignment horizontal="center" vertical="center"/>
    </xf>
    <xf numFmtId="0" fontId="5" fillId="5" borderId="15" xfId="0" applyFont="1" applyFill="1" applyBorder="1" applyAlignment="1">
      <alignment horizontal="center" vertical="center"/>
    </xf>
    <xf numFmtId="0" fontId="5" fillId="5" borderId="13" xfId="0" applyFont="1" applyFill="1" applyBorder="1" applyAlignment="1">
      <alignment horizontal="center" vertical="center"/>
    </xf>
    <xf numFmtId="0" fontId="5" fillId="5" borderId="14" xfId="0" applyFont="1" applyFill="1" applyBorder="1" applyAlignment="1">
      <alignment horizontal="center" vertical="center"/>
    </xf>
    <xf numFmtId="0" fontId="5" fillId="6" borderId="0" xfId="0" applyFont="1" applyFill="1" applyBorder="1" applyAlignment="1">
      <alignment horizontal="center" vertical="center"/>
    </xf>
    <xf numFmtId="0" fontId="0" fillId="7" borderId="0" xfId="0" applyFill="1" applyBorder="1" applyAlignment="1">
      <alignment horizontal="center" vertical="center"/>
    </xf>
    <xf numFmtId="0" fontId="2" fillId="8" borderId="16" xfId="0" applyFont="1" applyFill="1" applyBorder="1" applyAlignment="1">
      <alignment horizontal="center" vertical="center"/>
    </xf>
    <xf numFmtId="0" fontId="6" fillId="8" borderId="17" xfId="0" applyFont="1" applyFill="1" applyBorder="1" applyAlignment="1">
      <alignment horizontal="center" vertical="center"/>
    </xf>
    <xf numFmtId="0" fontId="6" fillId="8" borderId="18" xfId="0" applyFont="1" applyFill="1" applyBorder="1" applyAlignment="1">
      <alignment horizontal="center" vertical="center"/>
    </xf>
    <xf numFmtId="0" fontId="2" fillId="8" borderId="19" xfId="0" applyFont="1" applyFill="1" applyBorder="1" applyAlignment="1">
      <alignment horizontal="center" vertical="center"/>
    </xf>
    <xf numFmtId="0" fontId="2" fillId="8" borderId="17" xfId="0" applyFont="1" applyFill="1" applyBorder="1" applyAlignment="1">
      <alignment horizontal="center" vertical="center"/>
    </xf>
    <xf numFmtId="0" fontId="2" fillId="8" borderId="20" xfId="0" applyFont="1" applyFill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2" fillId="8" borderId="18" xfId="0" applyFont="1" applyFill="1" applyBorder="1" applyAlignment="1">
      <alignment horizontal="center" vertical="center"/>
    </xf>
    <xf numFmtId="0" fontId="2" fillId="8" borderId="23" xfId="0" applyFont="1" applyFill="1" applyBorder="1" applyAlignment="1">
      <alignment horizontal="center" vertical="center"/>
    </xf>
    <xf numFmtId="0" fontId="2" fillId="8" borderId="24" xfId="0" applyFont="1" applyFill="1" applyBorder="1" applyAlignment="1">
      <alignment horizontal="center" vertical="center"/>
    </xf>
    <xf numFmtId="0" fontId="2" fillId="8" borderId="25" xfId="0" applyFont="1" applyFill="1" applyBorder="1" applyAlignment="1">
      <alignment horizontal="center" vertical="center"/>
    </xf>
    <xf numFmtId="0" fontId="0" fillId="0" borderId="4" xfId="0" applyBorder="1">
      <alignment vertical="center"/>
    </xf>
    <xf numFmtId="0" fontId="0" fillId="0" borderId="5" xfId="0" applyBorder="1">
      <alignment vertical="center"/>
    </xf>
    <xf numFmtId="0" fontId="0" fillId="0" borderId="0" xfId="0" applyBorder="1">
      <alignment vertical="center"/>
    </xf>
    <xf numFmtId="0" fontId="0" fillId="0" borderId="0" xfId="0" applyBorder="1">
      <alignment vertical="center"/>
    </xf>
    <xf numFmtId="0" fontId="0" fillId="8" borderId="26" xfId="0" applyFill="1" applyBorder="1" applyAlignment="1">
      <alignment horizontal="center" vertical="center"/>
    </xf>
    <xf numFmtId="0" fontId="0" fillId="8" borderId="27" xfId="0" applyFill="1" applyBorder="1" applyAlignment="1">
      <alignment horizontal="center" vertical="center"/>
    </xf>
    <xf numFmtId="0" fontId="0" fillId="8" borderId="28" xfId="0" applyFill="1" applyBorder="1" applyAlignment="1">
      <alignment horizontal="center" vertical="center"/>
    </xf>
    <xf numFmtId="0" fontId="7" fillId="0" borderId="0" xfId="0" applyFont="1">
      <alignment vertical="center"/>
    </xf>
    <xf numFmtId="0" fontId="8" fillId="0" borderId="0" xfId="0" applyFont="1" applyAlignment="1">
      <alignment horizontal="center" vertical="center" wrapText="1"/>
    </xf>
    <xf numFmtId="178" fontId="0" fillId="0" borderId="0" xfId="0" applyNumberFormat="1">
      <alignment vertical="center"/>
    </xf>
    <xf numFmtId="0" fontId="8" fillId="0" borderId="0" xfId="0" applyFont="1">
      <alignment vertical="center"/>
    </xf>
    <xf numFmtId="0" fontId="7" fillId="9" borderId="0" xfId="0" applyFont="1" applyFill="1" applyAlignment="1">
      <alignment horizontal="center" vertical="center"/>
    </xf>
    <xf numFmtId="179" fontId="0" fillId="0" borderId="0" xfId="0" applyNumberFormat="1">
      <alignment vertical="center"/>
    </xf>
    <xf numFmtId="180" fontId="0" fillId="0" borderId="0" xfId="0" applyNumberFormat="1">
      <alignment vertical="center"/>
    </xf>
    <xf numFmtId="0" fontId="9" fillId="10" borderId="0" xfId="0" applyFont="1" applyFill="1">
      <alignment vertical="center"/>
    </xf>
    <xf numFmtId="0" fontId="10" fillId="10" borderId="0" xfId="0" applyFont="1" applyFill="1">
      <alignment vertical="center"/>
    </xf>
    <xf numFmtId="0" fontId="10" fillId="0" borderId="0" xfId="0" applyFont="1" applyFill="1">
      <alignment vertical="center"/>
    </xf>
    <xf numFmtId="0" fontId="11" fillId="0" borderId="0" xfId="0" applyFont="1">
      <alignment vertical="center"/>
    </xf>
    <xf numFmtId="0" fontId="0" fillId="0" borderId="0" xfId="0" applyFill="1" applyBorder="1">
      <alignment vertical="center"/>
    </xf>
    <xf numFmtId="0" fontId="0" fillId="9" borderId="0" xfId="0" applyFont="1" applyFill="1" applyAlignment="1">
      <alignment vertical="center"/>
    </xf>
    <xf numFmtId="0" fontId="7" fillId="9" borderId="0" xfId="0" applyFont="1" applyFill="1" applyAlignment="1">
      <alignment vertical="center"/>
    </xf>
    <xf numFmtId="0" fontId="12" fillId="0" borderId="0" xfId="0" applyFont="1">
      <alignment vertical="center"/>
    </xf>
    <xf numFmtId="0" fontId="12" fillId="0" borderId="29" xfId="0" applyNumberFormat="1" applyFont="1" applyFill="1" applyBorder="1" applyAlignment="1" applyProtection="1">
      <alignment horizontal="center" vertical="center" wrapText="1"/>
    </xf>
    <xf numFmtId="0" fontId="12" fillId="0" borderId="30" xfId="0" applyNumberFormat="1" applyFont="1" applyFill="1" applyBorder="1" applyAlignment="1" applyProtection="1">
      <alignment horizontal="center" vertical="center" wrapText="1"/>
    </xf>
    <xf numFmtId="0" fontId="12" fillId="0" borderId="31" xfId="0" applyNumberFormat="1" applyFont="1" applyFill="1" applyBorder="1" applyAlignment="1" applyProtection="1">
      <alignment horizontal="center" vertical="center" wrapText="1"/>
    </xf>
    <xf numFmtId="0" fontId="0" fillId="0" borderId="32" xfId="0" applyNumberFormat="1" applyFont="1" applyFill="1" applyBorder="1" applyAlignment="1" applyProtection="1">
      <alignment vertical="center" wrapText="1"/>
    </xf>
    <xf numFmtId="0" fontId="8" fillId="0" borderId="0" xfId="0" applyFont="1" applyFill="1" applyBorder="1" applyAlignment="1">
      <alignment horizontal="center" vertical="center"/>
    </xf>
    <xf numFmtId="180" fontId="0" fillId="0" borderId="0" xfId="0" applyNumberFormat="1" applyFill="1" applyBorder="1">
      <alignment vertical="center"/>
    </xf>
    <xf numFmtId="0" fontId="13" fillId="9" borderId="33" xfId="0" applyFont="1" applyFill="1" applyBorder="1" applyAlignment="1">
      <alignment horizontal="center" vertical="center"/>
    </xf>
    <xf numFmtId="180" fontId="12" fillId="3" borderId="33" xfId="0" applyNumberFormat="1" applyFont="1" applyFill="1" applyBorder="1">
      <alignment vertical="center"/>
    </xf>
    <xf numFmtId="0" fontId="13" fillId="9" borderId="34" xfId="0" applyFont="1" applyFill="1" applyBorder="1">
      <alignment vertical="center"/>
    </xf>
    <xf numFmtId="0" fontId="12" fillId="3" borderId="34" xfId="0" applyFont="1" applyFill="1" applyBorder="1">
      <alignment vertical="center"/>
    </xf>
    <xf numFmtId="180" fontId="12" fillId="3" borderId="34" xfId="0" applyNumberFormat="1" applyFont="1" applyFill="1" applyBorder="1">
      <alignment vertical="center"/>
    </xf>
    <xf numFmtId="0" fontId="14" fillId="0" borderId="0" xfId="0" applyFont="1">
      <alignment vertical="center"/>
    </xf>
    <xf numFmtId="0" fontId="15" fillId="0" borderId="0" xfId="0" applyFo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69">
    <dxf>
      <font>
        <sz val="12"/>
      </font>
    </dxf>
    <dxf>
      <font>
        <sz val="12"/>
        <color theme="1"/>
      </font>
    </dxf>
    <dxf>
      <font>
        <sz val="12"/>
        <color theme="1"/>
      </font>
    </dxf>
    <dxf>
      <font>
        <sz val="12"/>
        <color theme="1"/>
      </font>
    </dxf>
    <dxf>
      <font>
        <sz val="12"/>
        <color theme="1"/>
      </font>
    </dxf>
    <dxf>
      <font>
        <sz val="12"/>
        <color theme="1"/>
      </font>
    </dxf>
    <dxf>
      <font>
        <sz val="12"/>
        <color theme="1"/>
      </font>
    </dxf>
    <dxf>
      <font>
        <sz val="12"/>
        <color theme="1"/>
      </font>
    </dxf>
    <dxf>
      <font>
        <sz val="12"/>
        <color theme="1"/>
      </font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theme="1"/>
      </font>
      <numFmt numFmtId="0" formatCode="General"/>
      <fill>
        <patternFill patternType="none"/>
      </fill>
      <alignment vertical="center" wrapText="1"/>
      <border>
        <left/>
        <right style="thin">
          <color theme="6"/>
        </right>
        <top style="thin">
          <color theme="6" tint="0.399975585192419"/>
        </top>
        <bottom style="thin">
          <color theme="6" tint="0.399975585192419"/>
        </bottom>
      </border>
    </dxf>
    <dxf>
      <numFmt numFmtId="179" formatCode="0.000_ "/>
    </dxf>
    <dxf>
      <numFmt numFmtId="178" formatCode="0.0_ "/>
    </dxf>
    <dxf>
      <fill>
        <patternFill patternType="solid">
          <fgColor theme="1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4" tint="-0.249977111117893"/>
      </font>
    </dxf>
    <dxf>
      <font>
        <b val="1"/>
        <color theme="4" tint="-0.249977111117893"/>
      </font>
    </dxf>
    <dxf>
      <font>
        <b val="1"/>
        <color theme="4" tint="-0.249977111117893"/>
      </font>
      <border>
        <top style="thin">
          <color theme="4"/>
        </top>
      </border>
    </dxf>
    <dxf>
      <font>
        <b val="1"/>
        <color theme="4" tint="-0.249977111117893"/>
      </font>
      <border>
        <top style="thin">
          <color theme="4"/>
        </top>
        <bottom style="medium">
          <color theme="4"/>
        </bottom>
      </border>
    </dxf>
    <dxf>
      <font>
        <color theme="4" tint="-0.499984740745262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5" tint="0.799981688894314"/>
          <bgColor theme="5" tint="0.799981688894314"/>
        </patternFill>
      </fill>
    </dxf>
    <dxf>
      <fill>
        <patternFill patternType="solid">
          <fgColor theme="5" tint="0.799981688894314"/>
          <bgColor theme="5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5"/>
        </top>
      </border>
    </dxf>
    <dxf>
      <font>
        <b val="1"/>
        <color theme="1"/>
      </font>
      <border>
        <bottom style="medium">
          <color theme="5"/>
        </bottom>
      </border>
    </dxf>
    <dxf>
      <font>
        <color theme="1"/>
      </font>
      <border>
        <left style="thin">
          <color theme="5"/>
        </left>
        <right style="thin">
          <color theme="5"/>
        </right>
        <top style="thin">
          <color theme="5"/>
        </top>
        <bottom style="thin">
          <color theme="5"/>
        </bottom>
        <vertical style="thin">
          <color theme="5" tint="0.399975585192419"/>
        </vertical>
        <horizontal style="thin">
          <color theme="5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5" tint="0.599993896298105"/>
          <bgColor theme="5" tint="0.599993896298105"/>
        </patternFill>
      </fill>
    </dxf>
    <dxf>
      <fill>
        <patternFill patternType="solid">
          <fgColor theme="5" tint="0.599993896298105"/>
          <bgColor theme="5" tint="0.599993896298105"/>
        </patternFill>
      </fill>
    </dxf>
    <dxf>
      <font>
        <b val="1"/>
        <color theme="0"/>
      </font>
      <fill>
        <patternFill patternType="solid">
          <fgColor theme="5"/>
          <bgColor theme="5"/>
        </patternFill>
      </fill>
    </dxf>
    <dxf>
      <font>
        <b val="1"/>
        <color theme="0"/>
      </font>
      <fill>
        <patternFill patternType="solid">
          <fgColor theme="5"/>
          <bgColor theme="5"/>
        </patternFill>
      </fill>
    </dxf>
    <dxf>
      <font>
        <b val="1"/>
        <color theme="1"/>
      </font>
      <fill>
        <patternFill patternType="solid">
          <fgColor theme="5" tint="0.799981688894314"/>
          <bgColor theme="5" tint="0.799981688894314"/>
        </patternFill>
      </fill>
      <border>
        <top style="thick">
          <color theme="0"/>
        </top>
        <vertical/>
        <horizontal/>
      </border>
    </dxf>
    <dxf>
      <font>
        <b val="1"/>
        <color theme="0"/>
      </font>
      <fill>
        <patternFill patternType="solid">
          <fgColor theme="5"/>
          <bgColor theme="5"/>
        </patternFill>
      </fill>
      <border>
        <bottom style="thick">
          <color theme="0"/>
        </bottom>
      </border>
    </dxf>
    <dxf>
      <font>
        <color theme="1"/>
      </font>
      <fill>
        <patternFill patternType="solid">
          <fgColor theme="5" tint="0.799981688894314"/>
          <bgColor theme="5" tint="0.799981688894314"/>
        </patternFill>
      </fill>
      <border>
        <vertical style="thin">
          <color theme="0"/>
        </vertical>
        <horizontal style="thin">
          <color theme="0"/>
        </horizontal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4" tint="-0.499984740745262"/>
      </font>
    </dxf>
    <dxf>
      <font>
        <b val="1"/>
        <color theme="0"/>
      </font>
      <fill>
        <patternFill patternType="solid">
          <fgColor theme="4"/>
          <bgColor theme="4"/>
        </patternFill>
      </fill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0"/>
        </horizontal>
      </border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theme="4" tint="0.399975585192419"/>
        </vertical>
        <horizontal style="thin">
          <color theme="4" tint="0.399975585192419"/>
        </horizontal>
      </border>
    </dxf>
    <dxf>
      <fill>
        <patternFill patternType="solid">
          <fgColor theme="6" tint="0.799981688894314"/>
          <bgColor theme="6" tint="0.799981688894314"/>
        </patternFill>
      </fill>
    </dxf>
    <dxf>
      <fill>
        <patternFill patternType="solid">
          <fgColor theme="6" tint="0.799981688894314"/>
          <bgColor theme="6" tint="0.799981688894314"/>
        </patternFill>
      </fill>
    </dxf>
    <dxf>
      <font>
        <b val="1"/>
        <color theme="6" tint="-0.249977111117893"/>
      </font>
    </dxf>
    <dxf>
      <font>
        <b val="1"/>
        <color theme="0"/>
      </font>
      <fill>
        <patternFill patternType="solid">
          <fgColor theme="6"/>
          <bgColor theme="6"/>
        </patternFill>
      </fill>
    </dxf>
    <dxf>
      <font>
        <b val="1"/>
        <color theme="6" tint="-0.499984740745262"/>
      </font>
      <fill>
        <patternFill patternType="solid">
          <fgColor theme="6" tint="0.799981688894314"/>
          <bgColor theme="6" tint="0.799981688894314"/>
        </patternFill>
      </fill>
      <border>
        <left style="thin">
          <color theme="6"/>
        </left>
        <right style="thin">
          <color theme="6"/>
        </right>
        <top style="medium">
          <color theme="6"/>
        </top>
        <bottom style="thin">
          <color theme="6"/>
        </bottom>
        <vertical style="thin">
          <color theme="6" tint="0.799981688894314"/>
        </vertical>
      </border>
    </dxf>
    <dxf>
      <font>
        <b val="1"/>
        <color theme="0"/>
      </font>
      <fill>
        <patternFill patternType="solid">
          <fgColor theme="6"/>
          <bgColor theme="6"/>
        </patternFill>
      </fill>
      <border>
        <left style="thin">
          <color theme="6"/>
        </left>
        <right style="thin">
          <color theme="6"/>
        </right>
        <top style="thin">
          <color theme="6"/>
        </top>
        <bottom style="thin">
          <color theme="0"/>
        </bottom>
        <vertical style="thin">
          <color theme="0"/>
        </vertical>
      </border>
    </dxf>
    <dxf>
      <font>
        <color theme="1"/>
      </font>
      <border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  <vertical style="thin">
          <color theme="0"/>
        </vertical>
        <horizontal style="thin">
          <color theme="0"/>
        </horizontal>
      </border>
    </dxf>
    <dxf>
      <fill>
        <patternFill patternType="solid">
          <bgColor theme="5" tint="0.9"/>
        </patternFill>
      </fill>
      <border>
        <left/>
        <right/>
        <top/>
        <bottom/>
        <vertical/>
        <horizontal/>
      </border>
    </dxf>
    <dxf>
      <fill>
        <patternFill patternType="solid">
          <bgColor theme="5" tint="0.9"/>
        </patternFill>
      </fill>
    </dxf>
    <dxf>
      <font>
        <b val="1"/>
        <i val="0"/>
        <u val="none"/>
        <sz val="11"/>
        <color rgb="FF08090C"/>
      </font>
      <fill>
        <patternFill patternType="solid">
          <bgColor theme="5" tint="0.8"/>
        </patternFill>
      </fill>
      <border>
        <left/>
        <right/>
        <top/>
        <bottom/>
        <vertical/>
        <horizontal/>
      </border>
    </dxf>
    <dxf>
      <font>
        <b val="1"/>
        <i val="0"/>
        <u val="none"/>
        <sz val="11"/>
        <color rgb="FF08090C"/>
      </font>
      <fill>
        <patternFill patternType="solid">
          <bgColor theme="5" tint="0.8"/>
        </patternFill>
      </fill>
      <border>
        <left/>
        <right/>
        <top/>
        <bottom/>
        <vertical/>
        <horizontal/>
      </border>
    </dxf>
    <dxf>
      <font>
        <b val="1"/>
        <i val="0"/>
        <u val="none"/>
        <sz val="11"/>
        <color rgb="FFFFFFFF"/>
      </font>
      <fill>
        <patternFill patternType="solid">
          <bgColor theme="5"/>
        </patternFill>
      </fill>
      <border>
        <left/>
        <right/>
        <top style="thin">
          <color theme="5"/>
        </top>
        <bottom style="thin">
          <color theme="5"/>
        </bottom>
        <vertical/>
        <horizontal/>
      </border>
    </dxf>
    <dxf>
      <font>
        <b val="1"/>
        <i val="0"/>
        <u val="none"/>
        <sz val="11"/>
        <color rgb="FFFFFFFF"/>
      </font>
      <fill>
        <patternFill patternType="solid">
          <bgColor theme="5"/>
        </patternFill>
      </fill>
      <border>
        <left/>
        <right/>
        <top/>
        <bottom/>
        <vertical/>
        <horizontal/>
      </border>
    </dxf>
    <dxf>
      <font>
        <b val="0"/>
        <i val="0"/>
        <u val="none"/>
        <sz val="11"/>
        <color rgb="FF000000"/>
      </font>
      <fill>
        <patternFill patternType="solid">
          <bgColor rgb="FFFFFFFF"/>
        </patternFill>
      </fill>
      <border>
        <left/>
        <right/>
        <top style="thin">
          <color theme="5"/>
        </top>
        <bottom style="thin">
          <color theme="5"/>
        </bottom>
        <vertical/>
        <horizontal/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8" defaultTableStyle="TableStylePreset3_Accent1" defaultPivotStyle="PivotStylePreset2_Accent1">
    <tableStyle name="TableStylePreset1_Accent1" pivot="0" count="7" xr9:uid="{A98CE15B-0617-44FD-AA09-9F3C88052951}">
      <tableStyleElement type="wholeTable" dxfId="18"/>
      <tableStyleElement type="headerRow" dxfId="17"/>
      <tableStyleElement type="totalRow" dxfId="16"/>
      <tableStyleElement type="firstColumn" dxfId="15"/>
      <tableStyleElement type="lastColumn" dxfId="14"/>
      <tableStyleElement type="firstRowStripe" dxfId="13"/>
      <tableStyleElement type="firstColumnStripe" dxfId="12"/>
    </tableStyle>
    <tableStyle name="TableStylePreset2_Accent2" pivot="0" count="7" xr9:uid="{6F9CE706-7A4E-430F-806A-CA734EE9099A}">
      <tableStyleElement type="wholeTable" dxfId="25"/>
      <tableStyleElement type="headerRow" dxfId="24"/>
      <tableStyleElement type="totalRow" dxfId="23"/>
      <tableStyleElement type="firstColumn" dxfId="22"/>
      <tableStyleElement type="lastColumn" dxfId="21"/>
      <tableStyleElement type="firstRowStripe" dxfId="20"/>
      <tableStyleElement type="firstColumnStripe" dxfId="19"/>
    </tableStyle>
    <tableStyle name="TableStylePreset3_Accent1" pivot="0" count="7" xr9:uid="{59DB682C-5494-4EDE-A608-00C9E5F0F923}">
      <tableStyleElement type="wholeTable" dxfId="32"/>
      <tableStyleElement type="headerRow" dxfId="31"/>
      <tableStyleElement type="totalRow" dxfId="30"/>
      <tableStyleElement type="firstColumn" dxfId="29"/>
      <tableStyleElement type="lastColumn" dxfId="28"/>
      <tableStyleElement type="firstRowStripe" dxfId="27"/>
      <tableStyleElement type="firstColumnStripe" dxfId="26"/>
    </tableStyle>
    <tableStyle name="TableStylePreset4_Accent2" pivot="0" count="7" xr9:uid="{EEAD36C3-60C2-4214-BB7A-D95E5CB76EB4}">
      <tableStyleElement type="wholeTable" dxfId="39"/>
      <tableStyleElement type="headerRow" dxfId="38"/>
      <tableStyleElement type="totalRow" dxfId="37"/>
      <tableStyleElement type="firstColumn" dxfId="36"/>
      <tableStyleElement type="lastColumn" dxfId="35"/>
      <tableStyleElement type="firstRowStripe" dxfId="34"/>
      <tableStyleElement type="firstColumnStripe" dxfId="33"/>
    </tableStyle>
    <tableStyle name="TableStylePreset10_Accent1" pivot="0" count="5" xr9:uid="{C92486B1-25AA-44E1-B2A5-C07FEE094A54}">
      <tableStyleElement type="wholeTable" dxfId="44"/>
      <tableStyleElement type="firstColumn" dxfId="43"/>
      <tableStyleElement type="lastColumn" dxfId="42"/>
      <tableStyleElement type="firstRowStripe" dxfId="41"/>
      <tableStyleElement type="firstColumnStripe" dxfId="40"/>
    </tableStyle>
    <tableStyle name="TableStylePreset11_Accent3" pivot="0" count="7" xr9:uid="{B2771B32-0E27-4620-AB05-739244E95BF4}">
      <tableStyleElement type="wholeTable" dxfId="51"/>
      <tableStyleElement type="headerRow" dxfId="50"/>
      <tableStyleElement type="totalRow" dxfId="49"/>
      <tableStyleElement type="firstColumn" dxfId="48"/>
      <tableStyleElement type="lastColumn" dxfId="47"/>
      <tableStyleElement type="firstRowStripe" dxfId="46"/>
      <tableStyleElement type="firstColumnStripe" dxfId="45"/>
    </tableStyle>
    <tableStyle name="tablestyleA27_5fff22" count="7" xr9:uid="{438B8056-CE23-4063-8845-6BDEE9EE6982}">
      <tableStyleElement type="wholeTable" dxfId="58"/>
      <tableStyleElement type="headerRow" dxfId="57"/>
      <tableStyleElement type="totalRow" dxfId="56"/>
      <tableStyleElement type="firstColumn" dxfId="55"/>
      <tableStyleElement type="lastColumn" dxfId="54"/>
      <tableStyleElement type="secondRowStripe" dxfId="53"/>
      <tableStyleElement type="firstColumnStripe" dxfId="52"/>
    </tableStyle>
    <tableStyle name="PivotStylePreset2_Accent1" table="0" count="10" xr9:uid="{267968C8-6FFD-4C36-ACC1-9EA1FD1885CA}">
      <tableStyleElement type="headerRow" dxfId="68"/>
      <tableStyleElement type="totalRow" dxfId="67"/>
      <tableStyleElement type="firstRowStripe" dxfId="66"/>
      <tableStyleElement type="firstColumnStripe" dxfId="65"/>
      <tableStyleElement type="firstSubtotalRow" dxfId="64"/>
      <tableStyleElement type="secondSubtotalRow" dxfId="63"/>
      <tableStyleElement type="firstRowSubheading" dxfId="62"/>
      <tableStyleElement type="secondRowSubheading" dxfId="61"/>
      <tableStyleElement type="pageFieldLabels" dxfId="60"/>
      <tableStyleElement type="pageFieldValues" dxfId="59"/>
    </tableStyle>
  </tableStyles>
  <colors>
    <mruColors>
      <color rgb="00FF4141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openxmlformats.org/officeDocument/2006/relationships/externalLink" Target="externalLinks/externalLink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schemas.openxmlformats.org/officeDocument/2006/relationships/styles" Target="styles.xml"/><Relationship Id="rId10" Type="http://schemas.openxmlformats.org/officeDocument/2006/relationships/sheetMetadata" Target="metadata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State </a:t>
            </a:r>
            <a:r>
              <a:t>Unemployment Rankings 2023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gradFill>
              <a:gsLst>
                <a:gs pos="0">
                  <a:schemeClr val="accent1">
                    <a:lumMod val="40000"/>
                    <a:lumOff val="60000"/>
                    <a:alpha val="91000"/>
                  </a:schemeClr>
                </a:gs>
                <a:gs pos="90000">
                  <a:schemeClr val="accent1"/>
                </a:gs>
              </a:gsLst>
              <a:lin ang="10800000" scaled="0"/>
            </a:gradFill>
            <a:ln>
              <a:gradFill>
                <a:gsLst>
                  <a:gs pos="0">
                    <a:schemeClr val="accent1"/>
                  </a:gs>
                  <a:gs pos="100000">
                    <a:schemeClr val="accent1">
                      <a:lumMod val="75000"/>
                    </a:schemeClr>
                  </a:gs>
                </a:gsLst>
                <a:lin ang="10800000" scaled="0"/>
              </a:gradFill>
            </a:ln>
            <a:effectLst>
              <a:outerShdw blurRad="76200" dist="25400" dir="2700000" algn="tl" rotWithShape="0">
                <a:schemeClr val="accent1">
                  <a:lumMod val="50000"/>
                  <a:alpha val="30000"/>
                </a:schemeClr>
              </a:outerShdw>
            </a:effectLst>
          </c:spPr>
          <c:invertIfNegative val="0"/>
          <c:dPt>
            <c:idx val="0"/>
            <c:invertIfNegative val="0"/>
            <c:bubble3D val="0"/>
          </c:dPt>
          <c:dPt>
            <c:idx val="1"/>
            <c:invertIfNegative val="0"/>
            <c:bubble3D val="0"/>
          </c:dPt>
          <c:dPt>
            <c:idx val="2"/>
            <c:invertIfNegative val="0"/>
            <c:bubble3D val="0"/>
          </c:dPt>
          <c:dPt>
            <c:idx val="3"/>
            <c:invertIfNegative val="0"/>
            <c:bubble3D val="0"/>
          </c:dPt>
          <c:dPt>
            <c:idx val="4"/>
            <c:invertIfNegative val="0"/>
            <c:bubble3D val="0"/>
          </c:dPt>
          <c:dPt>
            <c:idx val="5"/>
            <c:invertIfNegative val="0"/>
            <c:bubble3D val="0"/>
          </c:dPt>
          <c:dPt>
            <c:idx val="6"/>
            <c:invertIfNegative val="0"/>
            <c:bubble3D val="0"/>
          </c:dPt>
          <c:dPt>
            <c:idx val="7"/>
            <c:invertIfNegative val="0"/>
            <c:bubble3D val="0"/>
          </c:dPt>
          <c:dPt>
            <c:idx val="8"/>
            <c:invertIfNegative val="0"/>
            <c:bubble3D val="0"/>
          </c:dPt>
          <c:dPt>
            <c:idx val="9"/>
            <c:invertIfNegative val="0"/>
            <c:bubble3D val="0"/>
          </c:dPt>
          <c:dPt>
            <c:idx val="10"/>
            <c:invertIfNegative val="0"/>
            <c:bubble3D val="0"/>
          </c:dPt>
          <c:dPt>
            <c:idx val="11"/>
            <c:invertIfNegative val="0"/>
            <c:bubble3D val="0"/>
          </c:dPt>
          <c:dPt>
            <c:idx val="12"/>
            <c:invertIfNegative val="0"/>
            <c:bubble3D val="0"/>
          </c:dPt>
          <c:dPt>
            <c:idx val="13"/>
            <c:invertIfNegative val="0"/>
            <c:bubble3D val="0"/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'Q1 Analysis'!$B$4:$B$40</c:f>
              <c:strCache>
                <c:ptCount val="37"/>
                <c:pt idx="0">
                  <c:v>Abia</c:v>
                </c:pt>
                <c:pt idx="1">
                  <c:v>FCT</c:v>
                </c:pt>
                <c:pt idx="2">
                  <c:v>Rivers</c:v>
                </c:pt>
                <c:pt idx="3">
                  <c:v>Imo</c:v>
                </c:pt>
                <c:pt idx="4">
                  <c:v>Akwa Ibom</c:v>
                </c:pt>
                <c:pt idx="5">
                  <c:v>Bayelsa</c:v>
                </c:pt>
                <c:pt idx="6">
                  <c:v>Ebonyi</c:v>
                </c:pt>
                <c:pt idx="7">
                  <c:v>Ekiti</c:v>
                </c:pt>
                <c:pt idx="8">
                  <c:v>Delta</c:v>
                </c:pt>
                <c:pt idx="9">
                  <c:v>Adamawa</c:v>
                </c:pt>
                <c:pt idx="10">
                  <c:v>Edo</c:v>
                </c:pt>
                <c:pt idx="11">
                  <c:v>Osun</c:v>
                </c:pt>
                <c:pt idx="12">
                  <c:v>Cross River</c:v>
                </c:pt>
                <c:pt idx="13">
                  <c:v>Enugu</c:v>
                </c:pt>
                <c:pt idx="14">
                  <c:v>Taraba</c:v>
                </c:pt>
                <c:pt idx="15">
                  <c:v>Kogi</c:v>
                </c:pt>
                <c:pt idx="16">
                  <c:v>Ondo</c:v>
                </c:pt>
                <c:pt idx="17">
                  <c:v>Nasarawa</c:v>
                </c:pt>
                <c:pt idx="18">
                  <c:v>Gombe</c:v>
                </c:pt>
                <c:pt idx="19">
                  <c:v>Kaduna</c:v>
                </c:pt>
                <c:pt idx="20">
                  <c:v>Anambra</c:v>
                </c:pt>
                <c:pt idx="21">
                  <c:v>Plateau</c:v>
                </c:pt>
                <c:pt idx="22">
                  <c:v>Kwara</c:v>
                </c:pt>
                <c:pt idx="23">
                  <c:v>Oyo</c:v>
                </c:pt>
                <c:pt idx="24">
                  <c:v>Bauchi</c:v>
                </c:pt>
                <c:pt idx="25">
                  <c:v>Jigawa</c:v>
                </c:pt>
                <c:pt idx="26">
                  <c:v>Yobe</c:v>
                </c:pt>
                <c:pt idx="27">
                  <c:v>Niger</c:v>
                </c:pt>
                <c:pt idx="28">
                  <c:v>Kano</c:v>
                </c:pt>
                <c:pt idx="29">
                  <c:v>Zamfara</c:v>
                </c:pt>
                <c:pt idx="30">
                  <c:v>Katsina</c:v>
                </c:pt>
                <c:pt idx="31">
                  <c:v>Benue</c:v>
                </c:pt>
                <c:pt idx="32">
                  <c:v>Sokoto</c:v>
                </c:pt>
                <c:pt idx="33">
                  <c:v>Kebbi</c:v>
                </c:pt>
                <c:pt idx="34">
                  <c:v>Borno</c:v>
                </c:pt>
                <c:pt idx="35">
                  <c:v>Ogun</c:v>
                </c:pt>
                <c:pt idx="36">
                  <c:v>Lagos</c:v>
                </c:pt>
              </c:strCache>
            </c:strRef>
          </c:cat>
          <c:val>
            <c:numRef>
              <c:f>'Q1 Analysis'!$D$4:$D$40</c:f>
              <c:numCache>
                <c:formatCode>General</c:formatCode>
                <c:ptCount val="37"/>
                <c:pt idx="0">
                  <c:v>18.7</c:v>
                </c:pt>
                <c:pt idx="1">
                  <c:v>14.1</c:v>
                </c:pt>
                <c:pt idx="2">
                  <c:v>13.4</c:v>
                </c:pt>
                <c:pt idx="3">
                  <c:v>11.8</c:v>
                </c:pt>
                <c:pt idx="4">
                  <c:v>11.2</c:v>
                </c:pt>
                <c:pt idx="5">
                  <c:v>10.6</c:v>
                </c:pt>
                <c:pt idx="6">
                  <c:v>10.4</c:v>
                </c:pt>
                <c:pt idx="7">
                  <c:v>10.1</c:v>
                </c:pt>
                <c:pt idx="8">
                  <c:v>9.8</c:v>
                </c:pt>
                <c:pt idx="9">
                  <c:v>9.8</c:v>
                </c:pt>
                <c:pt idx="10">
                  <c:v>9.6</c:v>
                </c:pt>
                <c:pt idx="11">
                  <c:v>9.4</c:v>
                </c:pt>
                <c:pt idx="12">
                  <c:v>9.3</c:v>
                </c:pt>
                <c:pt idx="13">
                  <c:v>9.2</c:v>
                </c:pt>
                <c:pt idx="14">
                  <c:v>8.9</c:v>
                </c:pt>
                <c:pt idx="15">
                  <c:v>8.9</c:v>
                </c:pt>
                <c:pt idx="16">
                  <c:v>8.8</c:v>
                </c:pt>
                <c:pt idx="17">
                  <c:v>8.6</c:v>
                </c:pt>
                <c:pt idx="18">
                  <c:v>8.6</c:v>
                </c:pt>
                <c:pt idx="19">
                  <c:v>8.4</c:v>
                </c:pt>
                <c:pt idx="20">
                  <c:v>8.4</c:v>
                </c:pt>
                <c:pt idx="21">
                  <c:v>8.3</c:v>
                </c:pt>
                <c:pt idx="22">
                  <c:v>8.2</c:v>
                </c:pt>
                <c:pt idx="23">
                  <c:v>8.1</c:v>
                </c:pt>
                <c:pt idx="24">
                  <c:v>8.1</c:v>
                </c:pt>
                <c:pt idx="25">
                  <c:v>7.9</c:v>
                </c:pt>
                <c:pt idx="26">
                  <c:v>7.8</c:v>
                </c:pt>
                <c:pt idx="27">
                  <c:v>7.8</c:v>
                </c:pt>
                <c:pt idx="28">
                  <c:v>7.8</c:v>
                </c:pt>
                <c:pt idx="29">
                  <c:v>7.6</c:v>
                </c:pt>
                <c:pt idx="30">
                  <c:v>7.6</c:v>
                </c:pt>
                <c:pt idx="31">
                  <c:v>7.6</c:v>
                </c:pt>
                <c:pt idx="32">
                  <c:v>7.5</c:v>
                </c:pt>
                <c:pt idx="33">
                  <c:v>7.4</c:v>
                </c:pt>
                <c:pt idx="34">
                  <c:v>7.3</c:v>
                </c:pt>
                <c:pt idx="35">
                  <c:v>7.2</c:v>
                </c:pt>
                <c:pt idx="36">
                  <c:v>5.5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40"/>
        <c:overlap val="-40"/>
        <c:axId val="181394610"/>
        <c:axId val="763024158"/>
      </c:barChart>
      <c:catAx>
        <c:axId val="181394610"/>
        <c:scaling>
          <c:orientation val="maxMin"/>
        </c:scaling>
        <c:delete val="0"/>
        <c:axPos val="l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63024158"/>
        <c:crosses val="autoZero"/>
        <c:auto val="1"/>
        <c:lblAlgn val="ctr"/>
        <c:lblOffset val="100"/>
        <c:noMultiLvlLbl val="0"/>
      </c:catAx>
      <c:valAx>
        <c:axId val="763024158"/>
        <c:scaling>
          <c:orientation val="minMax"/>
        </c:scaling>
        <c:delete val="0"/>
        <c:axPos val="t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8139461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2dc15806-905e-4e9b-a647-c3a92007b2f1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Unemployment vs Poverty Rate (All States)</a:t>
            </a:r>
          </a:p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</a:p>
        </c:rich>
      </c:tx>
      <c:layout>
        <c:manualLayout>
          <c:xMode val="edge"/>
          <c:yMode val="edge"/>
          <c:x val="0.237544298519908"/>
          <c:y val="0.0183759187959398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marker"/>
        <c:varyColors val="0"/>
        <c:ser>
          <c:idx val="1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Lbl>
              <c:idx val="0"/>
              <c:layout/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</c:extLst>
            </c:dLbl>
            <c:dLbl>
              <c:idx val="1"/>
              <c:layout/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</c:extLst>
            </c:dLbl>
            <c:dLbl>
              <c:idx val="2"/>
              <c:layout/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</c:extLst>
            </c:dLbl>
            <c:dLbl>
              <c:idx val="3"/>
              <c:layout/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</c:extLst>
            </c:dLbl>
            <c:dLbl>
              <c:idx val="4"/>
              <c:layout/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</c:extLst>
            </c:dLbl>
            <c:dLbl>
              <c:idx val="5"/>
              <c:layout/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</c:extLst>
            </c:dLbl>
            <c:dLbl>
              <c:idx val="6"/>
              <c:layout/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</c:extLst>
            </c:dLbl>
            <c:dLbl>
              <c:idx val="7"/>
              <c:layout/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</c:extLst>
            </c:dLbl>
            <c:dLbl>
              <c:idx val="8"/>
              <c:layout/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</c:extLst>
            </c:dLbl>
            <c:dLbl>
              <c:idx val="9"/>
              <c:layout/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</c:extLst>
            </c:dLbl>
            <c:dLbl>
              <c:idx val="10"/>
              <c:layout/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</c:extLst>
            </c:dLbl>
            <c:dLbl>
              <c:idx val="11"/>
              <c:layout/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</c:extLst>
            </c:dLbl>
            <c:dLbl>
              <c:idx val="12"/>
              <c:layout/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</c:extLst>
            </c:dLbl>
            <c:dLbl>
              <c:idx val="13"/>
              <c:layout/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</c:extLst>
            </c:dLbl>
            <c:dLbl>
              <c:idx val="14"/>
              <c:layout/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</c:extLst>
            </c:dLbl>
            <c:dLbl>
              <c:idx val="15"/>
              <c:layout/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</c:extLst>
            </c:dLbl>
            <c:dLbl>
              <c:idx val="16"/>
              <c:layout/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</c:extLst>
            </c:dLbl>
            <c:dLbl>
              <c:idx val="17"/>
              <c:layout/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</c:extLst>
            </c:dLbl>
            <c:dLbl>
              <c:idx val="18"/>
              <c:layout/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</c:extLst>
            </c:dLbl>
            <c:dLbl>
              <c:idx val="19"/>
              <c:layout/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</c:extLst>
            </c:dLbl>
            <c:dLbl>
              <c:idx val="20"/>
              <c:layout/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</c:extLst>
            </c:dLbl>
            <c:dLbl>
              <c:idx val="21"/>
              <c:layout/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</c:extLst>
            </c:dLbl>
            <c:dLbl>
              <c:idx val="22"/>
              <c:layout/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</c:extLst>
            </c:dLbl>
            <c:dLbl>
              <c:idx val="23"/>
              <c:layout/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</c:extLst>
            </c:dLbl>
            <c:dLbl>
              <c:idx val="24"/>
              <c:layout/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</c:extLst>
            </c:dLbl>
            <c:dLbl>
              <c:idx val="25"/>
              <c:layout/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</c:extLst>
            </c:dLbl>
            <c:dLbl>
              <c:idx val="26"/>
              <c:layout/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</c:extLst>
            </c:dLbl>
            <c:dLbl>
              <c:idx val="27"/>
              <c:layout/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</c:extLst>
            </c:dLbl>
            <c:dLbl>
              <c:idx val="28"/>
              <c:layout/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</c:extLst>
            </c:dLbl>
            <c:dLbl>
              <c:idx val="29"/>
              <c:layout/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</c:extLst>
            </c:dLbl>
            <c:dLbl>
              <c:idx val="30"/>
              <c:layout/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</c:extLst>
            </c:dLbl>
            <c:dLbl>
              <c:idx val="31"/>
              <c:layout/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</c:extLst>
            </c:dLbl>
            <c:dLbl>
              <c:idx val="32"/>
              <c:layout/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</c:extLst>
            </c:dLbl>
            <c:dLbl>
              <c:idx val="33"/>
              <c:layout/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</c:extLst>
            </c:dLbl>
            <c:dLbl>
              <c:idx val="34"/>
              <c:layout/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</c:extLst>
            </c:dLbl>
            <c:dLbl>
              <c:idx val="35"/>
              <c:layout/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</c:extLst>
            </c:dLbl>
            <c:dLbl>
              <c:idx val="36"/>
              <c:layout/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'Q2 Analysis'!$C$3:$C$39</c:f>
              <c:numCache>
                <c:formatCode>General</c:formatCode>
                <c:ptCount val="37"/>
                <c:pt idx="0">
                  <c:v>18.7</c:v>
                </c:pt>
                <c:pt idx="1">
                  <c:v>9.8</c:v>
                </c:pt>
                <c:pt idx="2">
                  <c:v>11.2</c:v>
                </c:pt>
                <c:pt idx="3">
                  <c:v>8.4</c:v>
                </c:pt>
                <c:pt idx="4">
                  <c:v>8.1</c:v>
                </c:pt>
                <c:pt idx="5">
                  <c:v>10.6</c:v>
                </c:pt>
                <c:pt idx="6">
                  <c:v>7.6</c:v>
                </c:pt>
                <c:pt idx="7">
                  <c:v>7.3</c:v>
                </c:pt>
                <c:pt idx="8">
                  <c:v>9.3</c:v>
                </c:pt>
                <c:pt idx="9">
                  <c:v>9.8</c:v>
                </c:pt>
                <c:pt idx="10">
                  <c:v>10.4</c:v>
                </c:pt>
                <c:pt idx="11">
                  <c:v>9.6</c:v>
                </c:pt>
                <c:pt idx="12">
                  <c:v>10.1</c:v>
                </c:pt>
                <c:pt idx="13">
                  <c:v>9.2</c:v>
                </c:pt>
                <c:pt idx="14">
                  <c:v>14.1</c:v>
                </c:pt>
                <c:pt idx="15">
                  <c:v>8.6</c:v>
                </c:pt>
                <c:pt idx="16">
                  <c:v>11.8</c:v>
                </c:pt>
                <c:pt idx="17">
                  <c:v>7.9</c:v>
                </c:pt>
                <c:pt idx="18">
                  <c:v>8.4</c:v>
                </c:pt>
                <c:pt idx="19">
                  <c:v>7.8</c:v>
                </c:pt>
                <c:pt idx="20">
                  <c:v>7.6</c:v>
                </c:pt>
                <c:pt idx="21">
                  <c:v>7.4</c:v>
                </c:pt>
                <c:pt idx="22">
                  <c:v>8.9</c:v>
                </c:pt>
                <c:pt idx="23">
                  <c:v>8.2</c:v>
                </c:pt>
                <c:pt idx="24">
                  <c:v>5.5</c:v>
                </c:pt>
                <c:pt idx="25">
                  <c:v>8.6</c:v>
                </c:pt>
                <c:pt idx="26">
                  <c:v>7.8</c:v>
                </c:pt>
                <c:pt idx="27">
                  <c:v>7.2</c:v>
                </c:pt>
                <c:pt idx="28">
                  <c:v>8.8</c:v>
                </c:pt>
                <c:pt idx="29">
                  <c:v>9.4</c:v>
                </c:pt>
                <c:pt idx="30">
                  <c:v>8.1</c:v>
                </c:pt>
                <c:pt idx="31">
                  <c:v>8.3</c:v>
                </c:pt>
                <c:pt idx="32">
                  <c:v>13.4</c:v>
                </c:pt>
                <c:pt idx="33">
                  <c:v>7.5</c:v>
                </c:pt>
                <c:pt idx="34">
                  <c:v>8.9</c:v>
                </c:pt>
                <c:pt idx="35">
                  <c:v>7.8</c:v>
                </c:pt>
                <c:pt idx="36">
                  <c:v>7.6</c:v>
                </c:pt>
              </c:numCache>
            </c:numRef>
          </c:xVal>
          <c:yVal>
            <c:numRef>
              <c:f>'Q2 Analysis'!$D$3:$D$39</c:f>
              <c:numCache>
                <c:formatCode>General</c:formatCode>
                <c:ptCount val="37"/>
                <c:pt idx="0">
                  <c:v>34.2</c:v>
                </c:pt>
                <c:pt idx="1">
                  <c:v>72.3</c:v>
                </c:pt>
                <c:pt idx="2">
                  <c:v>36.8</c:v>
                </c:pt>
                <c:pt idx="3">
                  <c:v>22.5</c:v>
                </c:pt>
                <c:pt idx="4">
                  <c:v>61.9</c:v>
                </c:pt>
                <c:pt idx="5">
                  <c:v>24.9</c:v>
                </c:pt>
                <c:pt idx="6">
                  <c:v>57.1</c:v>
                </c:pt>
                <c:pt idx="7">
                  <c:v>74.8</c:v>
                </c:pt>
                <c:pt idx="8">
                  <c:v>50.9</c:v>
                </c:pt>
                <c:pt idx="9">
                  <c:v>19.8</c:v>
                </c:pt>
                <c:pt idx="10">
                  <c:v>66.1</c:v>
                </c:pt>
                <c:pt idx="11">
                  <c:v>29.5</c:v>
                </c:pt>
                <c:pt idx="12">
                  <c:v>28.2</c:v>
                </c:pt>
                <c:pt idx="13">
                  <c:v>36.8</c:v>
                </c:pt>
                <c:pt idx="14">
                  <c:v>12.4</c:v>
                </c:pt>
                <c:pt idx="15">
                  <c:v>63.6</c:v>
                </c:pt>
                <c:pt idx="16">
                  <c:v>27.3</c:v>
                </c:pt>
                <c:pt idx="17">
                  <c:v>87</c:v>
                </c:pt>
                <c:pt idx="18">
                  <c:v>43.3</c:v>
                </c:pt>
                <c:pt idx="19">
                  <c:v>56.6</c:v>
                </c:pt>
                <c:pt idx="20">
                  <c:v>68.3</c:v>
                </c:pt>
                <c:pt idx="21">
                  <c:v>82.9</c:v>
                </c:pt>
                <c:pt idx="22">
                  <c:v>53.8</c:v>
                </c:pt>
                <c:pt idx="23">
                  <c:v>49.9</c:v>
                </c:pt>
                <c:pt idx="24">
                  <c:v>4.5</c:v>
                </c:pt>
                <c:pt idx="25">
                  <c:v>54.4</c:v>
                </c:pt>
                <c:pt idx="26">
                  <c:v>73.3</c:v>
                </c:pt>
                <c:pt idx="27">
                  <c:v>16.8</c:v>
                </c:pt>
                <c:pt idx="28">
                  <c:v>27.9</c:v>
                </c:pt>
                <c:pt idx="29">
                  <c:v>29.8</c:v>
                </c:pt>
                <c:pt idx="30">
                  <c:v>24.6</c:v>
                </c:pt>
                <c:pt idx="31">
                  <c:v>55.8</c:v>
                </c:pt>
                <c:pt idx="32">
                  <c:v>10.8</c:v>
                </c:pt>
                <c:pt idx="33">
                  <c:v>87.7</c:v>
                </c:pt>
                <c:pt idx="34">
                  <c:v>67.9</c:v>
                </c:pt>
                <c:pt idx="35">
                  <c:v>72.6</c:v>
                </c:pt>
                <c:pt idx="36">
                  <c:v>73.8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'Q2 Analysis'!$A$3:$A$39</c15:f>
                <c15:dlblRangeCache>
                  <c:ptCount val="37"/>
                  <c:pt idx="0">
                    <c:v>Abia</c:v>
                  </c:pt>
                  <c:pt idx="1">
                    <c:v>Adamawa</c:v>
                  </c:pt>
                  <c:pt idx="2">
                    <c:v>Akwa Ibom</c:v>
                  </c:pt>
                  <c:pt idx="3">
                    <c:v>Anambra</c:v>
                  </c:pt>
                  <c:pt idx="4">
                    <c:v>Bauchi</c:v>
                  </c:pt>
                  <c:pt idx="5">
                    <c:v>Bayelsa</c:v>
                  </c:pt>
                  <c:pt idx="6">
                    <c:v>Benue</c:v>
                  </c:pt>
                  <c:pt idx="7">
                    <c:v>Borno</c:v>
                  </c:pt>
                  <c:pt idx="8">
                    <c:v>Cross River</c:v>
                  </c:pt>
                  <c:pt idx="9">
                    <c:v>Delta</c:v>
                  </c:pt>
                  <c:pt idx="10">
                    <c:v>Ebonyi</c:v>
                  </c:pt>
                  <c:pt idx="11">
                    <c:v>Edo</c:v>
                  </c:pt>
                  <c:pt idx="12">
                    <c:v>Ekiti</c:v>
                  </c:pt>
                  <c:pt idx="13">
                    <c:v>Enugu</c:v>
                  </c:pt>
                  <c:pt idx="14">
                    <c:v>FCT</c:v>
                  </c:pt>
                  <c:pt idx="15">
                    <c:v>Gombe</c:v>
                  </c:pt>
                  <c:pt idx="16">
                    <c:v>Imo</c:v>
                  </c:pt>
                  <c:pt idx="17">
                    <c:v>Jigawa</c:v>
                  </c:pt>
                  <c:pt idx="18">
                    <c:v>Kaduna</c:v>
                  </c:pt>
                  <c:pt idx="19">
                    <c:v>Kano</c:v>
                  </c:pt>
                  <c:pt idx="20">
                    <c:v>Katsina</c:v>
                  </c:pt>
                  <c:pt idx="21">
                    <c:v>Kebbi</c:v>
                  </c:pt>
                  <c:pt idx="22">
                    <c:v>Kogi</c:v>
                  </c:pt>
                  <c:pt idx="23">
                    <c:v>Kwara</c:v>
                  </c:pt>
                  <c:pt idx="24">
                    <c:v>Lagos</c:v>
                  </c:pt>
                  <c:pt idx="25">
                    <c:v>Nasarawa</c:v>
                  </c:pt>
                  <c:pt idx="26">
                    <c:v>Niger</c:v>
                  </c:pt>
                  <c:pt idx="27">
                    <c:v>Ogun</c:v>
                  </c:pt>
                  <c:pt idx="28">
                    <c:v>Ondo</c:v>
                  </c:pt>
                  <c:pt idx="29">
                    <c:v>Osun</c:v>
                  </c:pt>
                  <c:pt idx="30">
                    <c:v>Oyo</c:v>
                  </c:pt>
                  <c:pt idx="31">
                    <c:v>Plateau</c:v>
                  </c:pt>
                  <c:pt idx="32">
                    <c:v>Rivers</c:v>
                  </c:pt>
                  <c:pt idx="33">
                    <c:v>Sokoto</c:v>
                  </c:pt>
                  <c:pt idx="34">
                    <c:v>Taraba</c:v>
                  </c:pt>
                  <c:pt idx="35">
                    <c:v>Yobe</c:v>
                  </c:pt>
                  <c:pt idx="36">
                    <c:v>Zamfara</c:v>
                  </c:pt>
                </c15:dlblRangeCache>
              </c15:datalabelsRange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30073554"/>
        <c:axId val="888690989"/>
      </c:scatterChart>
      <c:valAx>
        <c:axId val="83007355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1000" b="1" i="1" u="none" strike="noStrike" kern="1200" cap="none" spc="0" normalizeH="0" baseline="0">
                <a:solidFill>
                  <a:schemeClr val="tx1">
                    <a:lumMod val="95000"/>
                    <a:lumOff val="5000"/>
                  </a:schemeClr>
                </a:solidFill>
                <a:uFill>
                  <a:solidFill>
                    <a:schemeClr val="tx1">
                      <a:lumMod val="65000"/>
                      <a:lumOff val="35000"/>
                    </a:schemeClr>
                  </a:solidFill>
                </a:uFill>
                <a:latin typeface="+mn-lt"/>
                <a:ea typeface="+mn-ea"/>
                <a:cs typeface="+mn-cs"/>
              </a:defRPr>
            </a:pPr>
          </a:p>
        </c:txPr>
        <c:crossAx val="888690989"/>
        <c:crosses val="autoZero"/>
        <c:crossBetween val="midCat"/>
      </c:valAx>
      <c:valAx>
        <c:axId val="88869098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1000" b="1" i="1" u="none" strike="noStrike" kern="1200" cap="none" spc="0" normalizeH="0" baseline="0">
                <a:solidFill>
                  <a:schemeClr val="tx1">
                    <a:lumMod val="95000"/>
                    <a:lumOff val="5000"/>
                  </a:schemeClr>
                </a:solidFill>
                <a:uFill>
                  <a:solidFill>
                    <a:schemeClr val="tx1">
                      <a:lumMod val="65000"/>
                      <a:lumOff val="35000"/>
                    </a:schemeClr>
                  </a:solidFill>
                </a:uFill>
                <a:latin typeface="+mn-lt"/>
                <a:ea typeface="+mn-ea"/>
                <a:cs typeface="+mn-cs"/>
              </a:defRPr>
            </a:pPr>
          </a:p>
        </c:txPr>
        <c:crossAx val="830073554"/>
        <c:crosses val="autoZero"/>
        <c:crossBetween val="midCat"/>
      </c:valAx>
      <c:spPr>
        <a:noFill/>
        <a:ln w="9525" cap="flat" cmpd="sng" algn="ctr">
          <a:solidFill>
            <a:schemeClr val="tx1">
              <a:lumMod val="15000"/>
              <a:lumOff val="85000"/>
            </a:schemeClr>
          </a:solidFill>
          <a:round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5dc9c984-511f-449e-ae01-01d637d8e1e5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Top 15 States: Youth Unemployment Rate (2023)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"Vs National Average"</c:f>
              <c:strCache>
                <c:ptCount val="1"/>
                <c:pt idx="0">
                  <c:v>Vs National Average</c:v>
                </c:pt>
              </c:strCache>
            </c:strRef>
          </c:tx>
          <c:spPr>
            <a:gradFill>
              <a:gsLst>
                <a:gs pos="0">
                  <a:schemeClr val="accent1">
                    <a:hueOff val="-1670000"/>
                  </a:schemeClr>
                </a:gs>
                <a:gs pos="100000">
                  <a:schemeClr val="accent1"/>
                </a:gs>
              </a:gsLst>
              <a:lin ang="5400000" scaled="0"/>
            </a:gradFill>
            <a:ln>
              <a:gradFill>
                <a:gsLst>
                  <a:gs pos="0">
                    <a:schemeClr val="accent1">
                      <a:lumMod val="75000"/>
                      <a:hueOff val="-1670000"/>
                    </a:schemeClr>
                  </a:gs>
                  <a:gs pos="100000">
                    <a:schemeClr val="accent1">
                      <a:lumMod val="75000"/>
                    </a:schemeClr>
                  </a:gs>
                </a:gsLst>
                <a:lin ang="5160000" scaled="1"/>
              </a:gra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'Q3 Analysis'!$B$4:$B$17</c:f>
              <c:strCache>
                <c:ptCount val="14"/>
                <c:pt idx="0">
                  <c:v>Abia</c:v>
                </c:pt>
                <c:pt idx="1">
                  <c:v>FCT</c:v>
                </c:pt>
                <c:pt idx="2">
                  <c:v>Rivers</c:v>
                </c:pt>
                <c:pt idx="3">
                  <c:v>Imo</c:v>
                </c:pt>
                <c:pt idx="4">
                  <c:v>Akwa Ibom</c:v>
                </c:pt>
                <c:pt idx="5">
                  <c:v>Bayelsa</c:v>
                </c:pt>
                <c:pt idx="6">
                  <c:v>Ebonyi</c:v>
                </c:pt>
                <c:pt idx="7">
                  <c:v>Ekiti</c:v>
                </c:pt>
                <c:pt idx="8">
                  <c:v>Delta</c:v>
                </c:pt>
                <c:pt idx="9">
                  <c:v>Adamawa</c:v>
                </c:pt>
                <c:pt idx="10">
                  <c:v>Edo</c:v>
                </c:pt>
                <c:pt idx="11">
                  <c:v>Cross River</c:v>
                </c:pt>
                <c:pt idx="12">
                  <c:v>Enugu</c:v>
                </c:pt>
                <c:pt idx="13">
                  <c:v>Taraba</c:v>
                </c:pt>
              </c:strCache>
            </c:strRef>
          </c:cat>
          <c:val>
            <c:numRef>
              <c:f>'Q3 Analysis'!$C$4:$C$17</c:f>
              <c:numCache>
                <c:formatCode>General</c:formatCode>
                <c:ptCount val="14"/>
                <c:pt idx="0">
                  <c:v>28.4</c:v>
                </c:pt>
                <c:pt idx="1">
                  <c:v>22.8</c:v>
                </c:pt>
                <c:pt idx="2">
                  <c:v>21.6</c:v>
                </c:pt>
                <c:pt idx="3">
                  <c:v>19.4</c:v>
                </c:pt>
                <c:pt idx="4">
                  <c:v>18.5</c:v>
                </c:pt>
                <c:pt idx="5">
                  <c:v>17.8</c:v>
                </c:pt>
                <c:pt idx="6">
                  <c:v>17.2</c:v>
                </c:pt>
                <c:pt idx="7">
                  <c:v>17</c:v>
                </c:pt>
                <c:pt idx="8">
                  <c:v>16.4</c:v>
                </c:pt>
                <c:pt idx="9">
                  <c:v>16.2</c:v>
                </c:pt>
                <c:pt idx="10">
                  <c:v>16.1</c:v>
                </c:pt>
                <c:pt idx="11">
                  <c:v>15.9</c:v>
                </c:pt>
                <c:pt idx="12">
                  <c:v>15.6</c:v>
                </c:pt>
                <c:pt idx="13">
                  <c:v>15.3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-25"/>
        <c:axId val="856045848"/>
        <c:axId val="749424179"/>
      </c:barChart>
      <c:lineChart>
        <c:grouping val="standard"/>
        <c:varyColors val="0"/>
        <c:ser>
          <c:idx val="1"/>
          <c:order val="1"/>
          <c:tx>
            <c:strRef>
              <c:f>"national average"</c:f>
              <c:strCache>
                <c:ptCount val="1"/>
                <c:pt idx="0">
                  <c:v>national average</c:v>
                </c:pt>
              </c:strCache>
            </c:strRef>
          </c:tx>
          <c:spPr>
            <a:ln w="12700" cap="rnd" cmpd="sng">
              <a:solidFill>
                <a:srgbClr val="C00000"/>
              </a:solidFill>
              <a:prstDash val="sysDash"/>
              <a:round/>
            </a:ln>
            <a:effectLst/>
            <a:sp3d contourW="12700"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'Q3 Analysis'!$B$4:$B$17</c:f>
              <c:strCache>
                <c:ptCount val="14"/>
                <c:pt idx="0">
                  <c:v>Abia</c:v>
                </c:pt>
                <c:pt idx="1">
                  <c:v>FCT</c:v>
                </c:pt>
                <c:pt idx="2">
                  <c:v>Rivers</c:v>
                </c:pt>
                <c:pt idx="3">
                  <c:v>Imo</c:v>
                </c:pt>
                <c:pt idx="4">
                  <c:v>Akwa Ibom</c:v>
                </c:pt>
                <c:pt idx="5">
                  <c:v>Bayelsa</c:v>
                </c:pt>
                <c:pt idx="6">
                  <c:v>Ebonyi</c:v>
                </c:pt>
                <c:pt idx="7">
                  <c:v>Ekiti</c:v>
                </c:pt>
                <c:pt idx="8">
                  <c:v>Delta</c:v>
                </c:pt>
                <c:pt idx="9">
                  <c:v>Adamawa</c:v>
                </c:pt>
                <c:pt idx="10">
                  <c:v>Edo</c:v>
                </c:pt>
                <c:pt idx="11">
                  <c:v>Cross River</c:v>
                </c:pt>
                <c:pt idx="12">
                  <c:v>Enugu</c:v>
                </c:pt>
                <c:pt idx="13">
                  <c:v>Taraba</c:v>
                </c:pt>
              </c:strCache>
            </c:strRef>
          </c:cat>
          <c:val>
            <c:numRef>
              <c:f>{15.51,15.51,15.51,15.51,15.51,15.51,15.51,15.51,15.51,15.51,15.51,15.51,15.51,15.51,15.51}</c:f>
              <c:numCache>
                <c:formatCode>General</c:formatCode>
                <c:ptCount val="15"/>
                <c:pt idx="0">
                  <c:v>15.51</c:v>
                </c:pt>
                <c:pt idx="1">
                  <c:v>15.51</c:v>
                </c:pt>
                <c:pt idx="2">
                  <c:v>15.51</c:v>
                </c:pt>
                <c:pt idx="3">
                  <c:v>15.51</c:v>
                </c:pt>
                <c:pt idx="4">
                  <c:v>15.51</c:v>
                </c:pt>
                <c:pt idx="5">
                  <c:v>15.51</c:v>
                </c:pt>
                <c:pt idx="6">
                  <c:v>15.51</c:v>
                </c:pt>
                <c:pt idx="7">
                  <c:v>15.51</c:v>
                </c:pt>
                <c:pt idx="8">
                  <c:v>15.51</c:v>
                </c:pt>
                <c:pt idx="9">
                  <c:v>15.51</c:v>
                </c:pt>
                <c:pt idx="10">
                  <c:v>15.51</c:v>
                </c:pt>
                <c:pt idx="11">
                  <c:v>15.51</c:v>
                </c:pt>
                <c:pt idx="12">
                  <c:v>15.51</c:v>
                </c:pt>
                <c:pt idx="13">
                  <c:v>15.51</c:v>
                </c:pt>
                <c:pt idx="14">
                  <c:v>15.51</c:v>
                </c:pt>
              </c:numCache>
            </c:numRef>
          </c:val>
          <c:smooth val="0"/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0"/>
        <c:smooth val="0"/>
        <c:axId val="747810345"/>
        <c:axId val="691450841"/>
      </c:lineChart>
      <c:catAx>
        <c:axId val="85604584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49424179"/>
        <c:crosses val="autoZero"/>
        <c:auto val="1"/>
        <c:lblAlgn val="ctr"/>
        <c:lblOffset val="100"/>
        <c:noMultiLvlLbl val="0"/>
      </c:catAx>
      <c:valAx>
        <c:axId val="749424179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56045848"/>
        <c:crosses val="autoZero"/>
        <c:crossBetween val="between"/>
      </c:valAx>
      <c:catAx>
        <c:axId val="747810345"/>
        <c:scaling>
          <c:orientation val="minMax"/>
        </c:scaling>
        <c:delete val="1"/>
        <c:axPos val="b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91450841"/>
        <c:crosses val="autoZero"/>
        <c:auto val="1"/>
        <c:lblAlgn val="ctr"/>
        <c:lblOffset val="100"/>
        <c:noMultiLvlLbl val="0"/>
      </c:catAx>
      <c:valAx>
        <c:axId val="691450841"/>
        <c:scaling>
          <c:orientation val="minMax"/>
        </c:scaling>
        <c:delete val="1"/>
        <c:axPos val="r"/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47810345"/>
        <c:crosses val="max"/>
        <c:crossBetween val="between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91e0d942-5b41-4b7b-81ab-4ebdb1b51216}"/>
      </c:ext>
    </c:extLst>
  </c:chart>
  <c:spPr>
    <a:solidFill>
      <a:schemeClr val="lt1">
        <a:lumMod val="96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Poverty &amp; Informal Employment Rate by Region</a:t>
            </a:r>
          </a:p>
        </c:rich>
      </c:tx>
      <c:layout/>
      <c:overlay val="0"/>
      <c:spPr>
        <a:solidFill>
          <a:schemeClr val="accent1">
            <a:lumMod val="60000"/>
            <a:lumOff val="40000"/>
          </a:schemeClr>
        </a:solidFill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'Q4 Analysis'!$B$3</c:f>
              <c:strCache>
                <c:ptCount val="1"/>
                <c:pt idx="0">
                  <c:v>Avg Poverty (%)</c:v>
                </c:pt>
              </c:strCache>
            </c:strRef>
          </c:tx>
          <c:spPr>
            <a:solidFill>
              <a:schemeClr val="accent2">
                <a:lumMod val="75000"/>
              </a:schemeClr>
            </a:solidFill>
            <a:ln>
              <a:gradFill>
                <a:gsLst>
                  <a:gs pos="0">
                    <a:schemeClr val="accent1"/>
                  </a:gs>
                  <a:gs pos="100000">
                    <a:schemeClr val="accent1">
                      <a:lumMod val="75000"/>
                    </a:schemeClr>
                  </a:gs>
                </a:gsLst>
                <a:lin ang="5160000" scaled="1"/>
              </a:gradFill>
            </a:ln>
            <a:effectLst>
              <a:outerShdw blurRad="76200" dist="25400" dir="2700000" algn="tl" rotWithShape="0">
                <a:schemeClr val="accent1">
                  <a:lumMod val="50000"/>
                  <a:alpha val="30000"/>
                </a:scheme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'Q4 Analysis'!$A$4:$A$9</c:f>
              <c:strCache>
                <c:ptCount val="6"/>
                <c:pt idx="0">
                  <c:v>North East</c:v>
                </c:pt>
                <c:pt idx="1">
                  <c:v>North West</c:v>
                </c:pt>
                <c:pt idx="2">
                  <c:v>North Central</c:v>
                </c:pt>
                <c:pt idx="3">
                  <c:v>South West</c:v>
                </c:pt>
                <c:pt idx="4">
                  <c:v>South South</c:v>
                </c:pt>
                <c:pt idx="5">
                  <c:v>South East</c:v>
                </c:pt>
              </c:strCache>
            </c:strRef>
          </c:cat>
          <c:val>
            <c:numRef>
              <c:f>'Q4 Analysis'!$B$4:$B$9</c:f>
              <c:numCache>
                <c:formatCode>0.0_ </c:formatCode>
                <c:ptCount val="6"/>
                <c:pt idx="0">
                  <c:v>68.85</c:v>
                </c:pt>
                <c:pt idx="1">
                  <c:v>71.3714285714286</c:v>
                </c:pt>
                <c:pt idx="2">
                  <c:v>50.9571428571429</c:v>
                </c:pt>
                <c:pt idx="3">
                  <c:v>21.9666666666667</c:v>
                </c:pt>
                <c:pt idx="4">
                  <c:v>28.7833333333333</c:v>
                </c:pt>
                <c:pt idx="5">
                  <c:v>37.38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-25"/>
        <c:axId val="793342271"/>
        <c:axId val="330531815"/>
      </c:barChart>
      <c:lineChart>
        <c:grouping val="standard"/>
        <c:varyColors val="0"/>
        <c:ser>
          <c:idx val="1"/>
          <c:order val="1"/>
          <c:tx>
            <c:strRef>
              <c:f>'Q4 Analysis'!$C$3</c:f>
              <c:strCache>
                <c:ptCount val="1"/>
                <c:pt idx="0">
                  <c:v>Avg Informal Employment (%)</c:v>
                </c:pt>
              </c:strCache>
            </c:strRef>
          </c:tx>
          <c:spPr>
            <a:ln w="28575" cap="rnd">
              <a:solidFill>
                <a:schemeClr val="accent5">
                  <a:lumMod val="50000"/>
                </a:schemeClr>
              </a:solidFill>
              <a:round/>
            </a:ln>
            <a:effectLst>
              <a:outerShdw blurRad="76200" dist="25400" dir="2700000" algn="tl" rotWithShape="0">
                <a:schemeClr val="accent2">
                  <a:lumMod val="50000"/>
                  <a:alpha val="30000"/>
                </a:schemeClr>
              </a:outerShdw>
            </a:effectLst>
          </c:spPr>
          <c:marker>
            <c:symbol val="none"/>
          </c:marker>
          <c:dLbls>
            <c:spPr>
              <a:gradFill>
                <a:gsLst>
                  <a:gs pos="0">
                    <a:schemeClr val="accent1">
                      <a:lumMod val="40000"/>
                      <a:lumOff val="60000"/>
                    </a:schemeClr>
                  </a:gs>
                  <a:gs pos="90000">
                    <a:schemeClr val="accent1"/>
                  </a:gs>
                </a:gsLst>
                <a:lin ang="5400000" scaled="0"/>
              </a:gradFill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200" b="0" i="0" u="none" strike="noStrike" kern="1200" cap="none" spc="0" normalizeH="0" baseline="0">
                    <a:solidFill>
                      <a:schemeClr val="tx1"/>
                    </a:solidFill>
                    <a:uFill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</a:uFill>
                    <a:latin typeface="+mn-lt"/>
                    <a:ea typeface="+mn-ea"/>
                    <a:cs typeface="+mn-cs"/>
                  </a:defRPr>
                </a:pPr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'Q4 Analysis'!$A$4:$A$9</c:f>
              <c:strCache>
                <c:ptCount val="6"/>
                <c:pt idx="0">
                  <c:v>North East</c:v>
                </c:pt>
                <c:pt idx="1">
                  <c:v>North West</c:v>
                </c:pt>
                <c:pt idx="2">
                  <c:v>North Central</c:v>
                </c:pt>
                <c:pt idx="3">
                  <c:v>South West</c:v>
                </c:pt>
                <c:pt idx="4">
                  <c:v>South South</c:v>
                </c:pt>
                <c:pt idx="5">
                  <c:v>South East</c:v>
                </c:pt>
              </c:strCache>
            </c:strRef>
          </c:cat>
          <c:val>
            <c:numRef>
              <c:f>'Q4 Analysis'!$C$4:$C$9</c:f>
              <c:numCache>
                <c:formatCode>0.0_ </c:formatCode>
                <c:ptCount val="6"/>
                <c:pt idx="0">
                  <c:v>68.85</c:v>
                </c:pt>
                <c:pt idx="1">
                  <c:v>96.3428571428571</c:v>
                </c:pt>
                <c:pt idx="2">
                  <c:v>90.7714285714286</c:v>
                </c:pt>
                <c:pt idx="3">
                  <c:v>85.4833333333333</c:v>
                </c:pt>
                <c:pt idx="4">
                  <c:v>85.7333333333333</c:v>
                </c:pt>
                <c:pt idx="5" c:formatCode="General">
                  <c:v>88.7</c:v>
                </c:pt>
              </c:numCache>
            </c:numRef>
          </c:val>
          <c:smooth val="0"/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0"/>
        <c:smooth val="0"/>
        <c:axId val="65333050"/>
        <c:axId val="755333157"/>
      </c:lineChart>
      <c:catAx>
        <c:axId val="79334227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1000" b="1" i="1" u="none" strike="noStrike" kern="1200" cap="none" spc="0" normalizeH="0" baseline="0">
                <a:solidFill>
                  <a:schemeClr val="tx1">
                    <a:lumMod val="95000"/>
                    <a:lumOff val="5000"/>
                  </a:schemeClr>
                </a:solidFill>
                <a:uFill>
                  <a:solidFill>
                    <a:schemeClr val="tx1">
                      <a:lumMod val="65000"/>
                      <a:lumOff val="35000"/>
                    </a:schemeClr>
                  </a:solidFill>
                </a:uFill>
                <a:latin typeface="+mn-lt"/>
                <a:ea typeface="+mn-ea"/>
                <a:cs typeface="+mn-cs"/>
              </a:defRPr>
            </a:pPr>
          </a:p>
        </c:txPr>
        <c:crossAx val="330531815"/>
        <c:crosses val="autoZero"/>
        <c:auto val="1"/>
        <c:lblAlgn val="ctr"/>
        <c:lblOffset val="100"/>
        <c:noMultiLvlLbl val="0"/>
      </c:catAx>
      <c:valAx>
        <c:axId val="330531815"/>
        <c:scaling>
          <c:orientation val="minMax"/>
        </c:scaling>
        <c:delete val="1"/>
        <c:axPos val="l"/>
        <c:numFmt formatCode="0.0_ 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93342271"/>
        <c:crosses val="autoZero"/>
        <c:crossBetween val="between"/>
      </c:valAx>
      <c:catAx>
        <c:axId val="65333050"/>
        <c:scaling>
          <c:orientation val="minMax"/>
        </c:scaling>
        <c:delete val="1"/>
        <c:axPos val="b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55333157"/>
        <c:crosses val="autoZero"/>
        <c:auto val="1"/>
        <c:lblAlgn val="ctr"/>
        <c:lblOffset val="100"/>
        <c:noMultiLvlLbl val="0"/>
      </c:catAx>
      <c:valAx>
        <c:axId val="755333157"/>
        <c:scaling>
          <c:orientation val="minMax"/>
        </c:scaling>
        <c:delete val="1"/>
        <c:axPos val="r"/>
        <c:numFmt formatCode="0.0_ 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5333050"/>
        <c:crosses val="max"/>
        <c:crossBetween val="between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cf4576ee-e460-4ada-87ac-b4163796605b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State </a:t>
            </a:r>
            <a:r>
              <a:t>Unemployment Rankings 2023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gradFill>
              <a:gsLst>
                <a:gs pos="0">
                  <a:schemeClr val="accent1">
                    <a:lumMod val="40000"/>
                    <a:lumOff val="60000"/>
                  </a:schemeClr>
                </a:gs>
                <a:gs pos="90000">
                  <a:schemeClr val="accent1"/>
                </a:gs>
              </a:gsLst>
              <a:lin ang="10800000" scaled="0"/>
            </a:gradFill>
            <a:ln>
              <a:gradFill>
                <a:gsLst>
                  <a:gs pos="0">
                    <a:schemeClr val="accent1"/>
                  </a:gs>
                  <a:gs pos="100000">
                    <a:schemeClr val="accent1">
                      <a:lumMod val="75000"/>
                    </a:schemeClr>
                  </a:gs>
                </a:gsLst>
                <a:lin ang="10800000" scaled="0"/>
              </a:gradFill>
            </a:ln>
            <a:effectLst>
              <a:outerShdw blurRad="76200" dist="25400" dir="2700000" algn="tl" rotWithShape="0">
                <a:schemeClr val="accent1">
                  <a:lumMod val="50000"/>
                  <a:alpha val="30000"/>
                </a:schemeClr>
              </a:outerShdw>
            </a:effectLst>
          </c:spPr>
          <c:invertIfNegative val="0"/>
          <c:dPt>
            <c:idx val="0"/>
            <c:invertIfNegative val="0"/>
            <c:bubble3D val="0"/>
          </c:dPt>
          <c:dPt>
            <c:idx val="1"/>
            <c:invertIfNegative val="0"/>
            <c:bubble3D val="0"/>
          </c:dPt>
          <c:dPt>
            <c:idx val="2"/>
            <c:invertIfNegative val="0"/>
            <c:bubble3D val="0"/>
          </c:dPt>
          <c:dPt>
            <c:idx val="3"/>
            <c:invertIfNegative val="0"/>
            <c:bubble3D val="0"/>
          </c:dPt>
          <c:dPt>
            <c:idx val="4"/>
            <c:invertIfNegative val="0"/>
            <c:bubble3D val="0"/>
          </c:dPt>
          <c:dPt>
            <c:idx val="5"/>
            <c:invertIfNegative val="0"/>
            <c:bubble3D val="0"/>
          </c:dPt>
          <c:dPt>
            <c:idx val="6"/>
            <c:invertIfNegative val="0"/>
            <c:bubble3D val="0"/>
          </c:dPt>
          <c:dPt>
            <c:idx val="7"/>
            <c:invertIfNegative val="0"/>
            <c:bubble3D val="0"/>
          </c:dPt>
          <c:dPt>
            <c:idx val="8"/>
            <c:invertIfNegative val="0"/>
            <c:bubble3D val="0"/>
          </c:dPt>
          <c:dPt>
            <c:idx val="9"/>
            <c:invertIfNegative val="0"/>
            <c:bubble3D val="0"/>
          </c:dPt>
          <c:dPt>
            <c:idx val="10"/>
            <c:invertIfNegative val="0"/>
            <c:bubble3D val="0"/>
          </c:dPt>
          <c:dPt>
            <c:idx val="11"/>
            <c:invertIfNegative val="0"/>
            <c:bubble3D val="0"/>
          </c:dPt>
          <c:dPt>
            <c:idx val="12"/>
            <c:invertIfNegative val="0"/>
            <c:bubble3D val="0"/>
          </c:dPt>
          <c:dPt>
            <c:idx val="13"/>
            <c:invertIfNegative val="0"/>
            <c:bubble3D val="0"/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'[1]Q1 Analysis'!$B$4:$B$40</c:f>
              <c:strCache>
                <c:ptCount val="37"/>
                <c:pt idx="0">
                  <c:v>Abia</c:v>
                </c:pt>
                <c:pt idx="1">
                  <c:v>FCT</c:v>
                </c:pt>
                <c:pt idx="2">
                  <c:v>Rivers</c:v>
                </c:pt>
                <c:pt idx="3">
                  <c:v>Imo</c:v>
                </c:pt>
                <c:pt idx="4">
                  <c:v>Akwa Ibom</c:v>
                </c:pt>
                <c:pt idx="5">
                  <c:v>Bayelsa</c:v>
                </c:pt>
                <c:pt idx="6">
                  <c:v>Ebonyi</c:v>
                </c:pt>
                <c:pt idx="7">
                  <c:v>Ekiti</c:v>
                </c:pt>
                <c:pt idx="8">
                  <c:v>Delta</c:v>
                </c:pt>
                <c:pt idx="9">
                  <c:v>Adamawa</c:v>
                </c:pt>
                <c:pt idx="10">
                  <c:v>Edo</c:v>
                </c:pt>
                <c:pt idx="11">
                  <c:v>Osun</c:v>
                </c:pt>
                <c:pt idx="12">
                  <c:v>Cross River</c:v>
                </c:pt>
                <c:pt idx="13">
                  <c:v>Enugu</c:v>
                </c:pt>
                <c:pt idx="14">
                  <c:v>Taraba</c:v>
                </c:pt>
                <c:pt idx="15">
                  <c:v>Kogi</c:v>
                </c:pt>
                <c:pt idx="16">
                  <c:v>Ondo</c:v>
                </c:pt>
                <c:pt idx="17">
                  <c:v>Nasarawa</c:v>
                </c:pt>
                <c:pt idx="18">
                  <c:v>Gombe</c:v>
                </c:pt>
                <c:pt idx="19">
                  <c:v>Kaduna</c:v>
                </c:pt>
                <c:pt idx="20">
                  <c:v>Anambra</c:v>
                </c:pt>
                <c:pt idx="21">
                  <c:v>Plateau</c:v>
                </c:pt>
                <c:pt idx="22">
                  <c:v>Kwara</c:v>
                </c:pt>
                <c:pt idx="23">
                  <c:v>Oyo</c:v>
                </c:pt>
                <c:pt idx="24">
                  <c:v>Bauchi</c:v>
                </c:pt>
                <c:pt idx="25">
                  <c:v>Jigawa</c:v>
                </c:pt>
                <c:pt idx="26">
                  <c:v>Yobe</c:v>
                </c:pt>
                <c:pt idx="27">
                  <c:v>Niger</c:v>
                </c:pt>
                <c:pt idx="28">
                  <c:v>Kano</c:v>
                </c:pt>
                <c:pt idx="29">
                  <c:v>Zamfara</c:v>
                </c:pt>
                <c:pt idx="30">
                  <c:v>Katsina</c:v>
                </c:pt>
                <c:pt idx="31">
                  <c:v>Benue</c:v>
                </c:pt>
                <c:pt idx="32">
                  <c:v>Sokoto</c:v>
                </c:pt>
                <c:pt idx="33">
                  <c:v>Kebbi</c:v>
                </c:pt>
                <c:pt idx="34">
                  <c:v>Borno</c:v>
                </c:pt>
                <c:pt idx="35">
                  <c:v>Ogun</c:v>
                </c:pt>
                <c:pt idx="36">
                  <c:v>Lagos</c:v>
                </c:pt>
              </c:strCache>
            </c:strRef>
          </c:cat>
          <c:val>
            <c:numRef>
              <c:f>'[1]Q1 Analysis'!$D$4:$D$40</c:f>
              <c:numCache>
                <c:formatCode>General</c:formatCode>
                <c:ptCount val="37"/>
                <c:pt idx="0">
                  <c:v>18.7</c:v>
                </c:pt>
                <c:pt idx="1">
                  <c:v>14.1</c:v>
                </c:pt>
                <c:pt idx="2">
                  <c:v>13.4</c:v>
                </c:pt>
                <c:pt idx="3">
                  <c:v>11.8</c:v>
                </c:pt>
                <c:pt idx="4">
                  <c:v>11.2</c:v>
                </c:pt>
                <c:pt idx="5">
                  <c:v>10.6</c:v>
                </c:pt>
                <c:pt idx="6">
                  <c:v>10.4</c:v>
                </c:pt>
                <c:pt idx="7">
                  <c:v>10.1</c:v>
                </c:pt>
                <c:pt idx="8">
                  <c:v>9.8</c:v>
                </c:pt>
                <c:pt idx="9">
                  <c:v>9.8</c:v>
                </c:pt>
                <c:pt idx="10">
                  <c:v>9.6</c:v>
                </c:pt>
                <c:pt idx="11">
                  <c:v>9.4</c:v>
                </c:pt>
                <c:pt idx="12">
                  <c:v>9.3</c:v>
                </c:pt>
                <c:pt idx="13">
                  <c:v>9.2</c:v>
                </c:pt>
                <c:pt idx="14">
                  <c:v>8.9</c:v>
                </c:pt>
                <c:pt idx="15">
                  <c:v>8.9</c:v>
                </c:pt>
                <c:pt idx="16">
                  <c:v>8.8</c:v>
                </c:pt>
                <c:pt idx="17">
                  <c:v>8.6</c:v>
                </c:pt>
                <c:pt idx="18">
                  <c:v>8.6</c:v>
                </c:pt>
                <c:pt idx="19">
                  <c:v>8.4</c:v>
                </c:pt>
                <c:pt idx="20">
                  <c:v>8.4</c:v>
                </c:pt>
                <c:pt idx="21">
                  <c:v>8.3</c:v>
                </c:pt>
                <c:pt idx="22">
                  <c:v>8.2</c:v>
                </c:pt>
                <c:pt idx="23">
                  <c:v>8.1</c:v>
                </c:pt>
                <c:pt idx="24">
                  <c:v>8.1</c:v>
                </c:pt>
                <c:pt idx="25">
                  <c:v>7.9</c:v>
                </c:pt>
                <c:pt idx="26">
                  <c:v>7.8</c:v>
                </c:pt>
                <c:pt idx="27">
                  <c:v>7.8</c:v>
                </c:pt>
                <c:pt idx="28">
                  <c:v>7.8</c:v>
                </c:pt>
                <c:pt idx="29">
                  <c:v>7.6</c:v>
                </c:pt>
                <c:pt idx="30">
                  <c:v>7.6</c:v>
                </c:pt>
                <c:pt idx="31">
                  <c:v>7.6</c:v>
                </c:pt>
                <c:pt idx="32">
                  <c:v>7.5</c:v>
                </c:pt>
                <c:pt idx="33">
                  <c:v>7.4</c:v>
                </c:pt>
                <c:pt idx="34">
                  <c:v>7.3</c:v>
                </c:pt>
                <c:pt idx="35">
                  <c:v>7.2</c:v>
                </c:pt>
                <c:pt idx="36">
                  <c:v>5.5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40"/>
        <c:overlap val="-40"/>
        <c:axId val="181394610"/>
        <c:axId val="763024158"/>
      </c:barChart>
      <c:catAx>
        <c:axId val="181394610"/>
        <c:scaling>
          <c:orientation val="maxMin"/>
        </c:scaling>
        <c:delete val="0"/>
        <c:axPos val="l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63024158"/>
        <c:crosses val="autoZero"/>
        <c:auto val="1"/>
        <c:lblAlgn val="ctr"/>
        <c:lblOffset val="100"/>
        <c:noMultiLvlLbl val="0"/>
      </c:catAx>
      <c:valAx>
        <c:axId val="763024158"/>
        <c:scaling>
          <c:orientation val="minMax"/>
        </c:scaling>
        <c:delete val="1"/>
        <c:axPos val="t"/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8139461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0e0bb188-fef8-4966-bbc2-137b6668c318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Unemployment vs Poverty Rate (All States)</a:t>
            </a:r>
          </a:p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</a:p>
        </c:rich>
      </c:tx>
      <c:layout>
        <c:manualLayout>
          <c:xMode val="edge"/>
          <c:yMode val="edge"/>
          <c:x val="0.237544298519908"/>
          <c:y val="0.0183759187959398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marker"/>
        <c:varyColors val="0"/>
        <c:ser>
          <c:idx val="1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Lbl>
              <c:idx val="0"/>
              <c:layout/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</c:extLst>
            </c:dLbl>
            <c:dLbl>
              <c:idx val="1"/>
              <c:layout/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</c:extLst>
            </c:dLbl>
            <c:dLbl>
              <c:idx val="2"/>
              <c:layout/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</c:extLst>
            </c:dLbl>
            <c:dLbl>
              <c:idx val="3"/>
              <c:layout/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</c:extLst>
            </c:dLbl>
            <c:dLbl>
              <c:idx val="4"/>
              <c:layout/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</c:extLst>
            </c:dLbl>
            <c:dLbl>
              <c:idx val="5"/>
              <c:layout/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</c:extLst>
            </c:dLbl>
            <c:dLbl>
              <c:idx val="6"/>
              <c:layout/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</c:extLst>
            </c:dLbl>
            <c:dLbl>
              <c:idx val="7"/>
              <c:layout/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</c:extLst>
            </c:dLbl>
            <c:dLbl>
              <c:idx val="8"/>
              <c:layout/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</c:extLst>
            </c:dLbl>
            <c:dLbl>
              <c:idx val="9"/>
              <c:layout/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</c:extLst>
            </c:dLbl>
            <c:dLbl>
              <c:idx val="10"/>
              <c:layout/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</c:extLst>
            </c:dLbl>
            <c:dLbl>
              <c:idx val="11"/>
              <c:layout/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</c:extLst>
            </c:dLbl>
            <c:dLbl>
              <c:idx val="12"/>
              <c:layout/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</c:extLst>
            </c:dLbl>
            <c:dLbl>
              <c:idx val="13"/>
              <c:layout/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</c:extLst>
            </c:dLbl>
            <c:dLbl>
              <c:idx val="14"/>
              <c:layout/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</c:extLst>
            </c:dLbl>
            <c:dLbl>
              <c:idx val="15"/>
              <c:layout/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</c:extLst>
            </c:dLbl>
            <c:dLbl>
              <c:idx val="16"/>
              <c:layout/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</c:extLst>
            </c:dLbl>
            <c:dLbl>
              <c:idx val="17"/>
              <c:layout/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</c:extLst>
            </c:dLbl>
            <c:dLbl>
              <c:idx val="18"/>
              <c:layout/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</c:extLst>
            </c:dLbl>
            <c:dLbl>
              <c:idx val="19"/>
              <c:layout/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</c:extLst>
            </c:dLbl>
            <c:dLbl>
              <c:idx val="20"/>
              <c:layout/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</c:extLst>
            </c:dLbl>
            <c:dLbl>
              <c:idx val="21"/>
              <c:layout/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</c:extLst>
            </c:dLbl>
            <c:dLbl>
              <c:idx val="22"/>
              <c:layout/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</c:extLst>
            </c:dLbl>
            <c:dLbl>
              <c:idx val="23"/>
              <c:layout/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</c:extLst>
            </c:dLbl>
            <c:dLbl>
              <c:idx val="24"/>
              <c:layout/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</c:extLst>
            </c:dLbl>
            <c:dLbl>
              <c:idx val="25"/>
              <c:layout/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</c:extLst>
            </c:dLbl>
            <c:dLbl>
              <c:idx val="26"/>
              <c:layout/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</c:extLst>
            </c:dLbl>
            <c:dLbl>
              <c:idx val="27"/>
              <c:layout/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</c:extLst>
            </c:dLbl>
            <c:dLbl>
              <c:idx val="28"/>
              <c:layout/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</c:extLst>
            </c:dLbl>
            <c:dLbl>
              <c:idx val="29"/>
              <c:layout/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</c:extLst>
            </c:dLbl>
            <c:dLbl>
              <c:idx val="30"/>
              <c:layout/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</c:extLst>
            </c:dLbl>
            <c:dLbl>
              <c:idx val="31"/>
              <c:layout/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</c:extLst>
            </c:dLbl>
            <c:dLbl>
              <c:idx val="32"/>
              <c:layout/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</c:extLst>
            </c:dLbl>
            <c:dLbl>
              <c:idx val="33"/>
              <c:layout/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</c:extLst>
            </c:dLbl>
            <c:dLbl>
              <c:idx val="34"/>
              <c:layout/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</c:extLst>
            </c:dLbl>
            <c:dLbl>
              <c:idx val="35"/>
              <c:layout/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</c:extLst>
            </c:dLbl>
            <c:dLbl>
              <c:idx val="36"/>
              <c:layout/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'Q2 Analysis'!$C$3:$C$39</c:f>
              <c:numCache>
                <c:formatCode>General</c:formatCode>
                <c:ptCount val="37"/>
                <c:pt idx="0">
                  <c:v>18.7</c:v>
                </c:pt>
                <c:pt idx="1">
                  <c:v>9.8</c:v>
                </c:pt>
                <c:pt idx="2">
                  <c:v>11.2</c:v>
                </c:pt>
                <c:pt idx="3">
                  <c:v>8.4</c:v>
                </c:pt>
                <c:pt idx="4">
                  <c:v>8.1</c:v>
                </c:pt>
                <c:pt idx="5">
                  <c:v>10.6</c:v>
                </c:pt>
                <c:pt idx="6">
                  <c:v>7.6</c:v>
                </c:pt>
                <c:pt idx="7">
                  <c:v>7.3</c:v>
                </c:pt>
                <c:pt idx="8">
                  <c:v>9.3</c:v>
                </c:pt>
                <c:pt idx="9">
                  <c:v>9.8</c:v>
                </c:pt>
                <c:pt idx="10">
                  <c:v>10.4</c:v>
                </c:pt>
                <c:pt idx="11">
                  <c:v>9.6</c:v>
                </c:pt>
                <c:pt idx="12">
                  <c:v>10.1</c:v>
                </c:pt>
                <c:pt idx="13">
                  <c:v>9.2</c:v>
                </c:pt>
                <c:pt idx="14">
                  <c:v>14.1</c:v>
                </c:pt>
                <c:pt idx="15">
                  <c:v>8.6</c:v>
                </c:pt>
                <c:pt idx="16">
                  <c:v>11.8</c:v>
                </c:pt>
                <c:pt idx="17">
                  <c:v>7.9</c:v>
                </c:pt>
                <c:pt idx="18">
                  <c:v>8.4</c:v>
                </c:pt>
                <c:pt idx="19">
                  <c:v>7.8</c:v>
                </c:pt>
                <c:pt idx="20">
                  <c:v>7.6</c:v>
                </c:pt>
                <c:pt idx="21">
                  <c:v>7.4</c:v>
                </c:pt>
                <c:pt idx="22">
                  <c:v>8.9</c:v>
                </c:pt>
                <c:pt idx="23">
                  <c:v>8.2</c:v>
                </c:pt>
                <c:pt idx="24">
                  <c:v>5.5</c:v>
                </c:pt>
                <c:pt idx="25">
                  <c:v>8.6</c:v>
                </c:pt>
                <c:pt idx="26">
                  <c:v>7.8</c:v>
                </c:pt>
                <c:pt idx="27">
                  <c:v>7.2</c:v>
                </c:pt>
                <c:pt idx="28">
                  <c:v>8.8</c:v>
                </c:pt>
                <c:pt idx="29">
                  <c:v>9.4</c:v>
                </c:pt>
                <c:pt idx="30">
                  <c:v>8.1</c:v>
                </c:pt>
                <c:pt idx="31">
                  <c:v>8.3</c:v>
                </c:pt>
                <c:pt idx="32">
                  <c:v>13.4</c:v>
                </c:pt>
                <c:pt idx="33">
                  <c:v>7.5</c:v>
                </c:pt>
                <c:pt idx="34">
                  <c:v>8.9</c:v>
                </c:pt>
                <c:pt idx="35">
                  <c:v>7.8</c:v>
                </c:pt>
                <c:pt idx="36">
                  <c:v>7.6</c:v>
                </c:pt>
              </c:numCache>
            </c:numRef>
          </c:xVal>
          <c:yVal>
            <c:numRef>
              <c:f>'[1]Q2 Analysis'!$D$3:$D$39</c:f>
              <c:numCache>
                <c:formatCode>General</c:formatCode>
                <c:ptCount val="37"/>
                <c:pt idx="0">
                  <c:v>34.2</c:v>
                </c:pt>
                <c:pt idx="1">
                  <c:v>72.3</c:v>
                </c:pt>
                <c:pt idx="2">
                  <c:v>36.8</c:v>
                </c:pt>
                <c:pt idx="3">
                  <c:v>22.5</c:v>
                </c:pt>
                <c:pt idx="4">
                  <c:v>61.9</c:v>
                </c:pt>
                <c:pt idx="5">
                  <c:v>24.9</c:v>
                </c:pt>
                <c:pt idx="6">
                  <c:v>57.1</c:v>
                </c:pt>
                <c:pt idx="7">
                  <c:v>74.8</c:v>
                </c:pt>
                <c:pt idx="8">
                  <c:v>50.9</c:v>
                </c:pt>
                <c:pt idx="9">
                  <c:v>19.8</c:v>
                </c:pt>
                <c:pt idx="10">
                  <c:v>66.1</c:v>
                </c:pt>
                <c:pt idx="11">
                  <c:v>29.5</c:v>
                </c:pt>
                <c:pt idx="12">
                  <c:v>28.2</c:v>
                </c:pt>
                <c:pt idx="13">
                  <c:v>36.8</c:v>
                </c:pt>
                <c:pt idx="14">
                  <c:v>12.4</c:v>
                </c:pt>
                <c:pt idx="15">
                  <c:v>63.6</c:v>
                </c:pt>
                <c:pt idx="16">
                  <c:v>27.3</c:v>
                </c:pt>
                <c:pt idx="17">
                  <c:v>87</c:v>
                </c:pt>
                <c:pt idx="18">
                  <c:v>43.3</c:v>
                </c:pt>
                <c:pt idx="19">
                  <c:v>56.6</c:v>
                </c:pt>
                <c:pt idx="20">
                  <c:v>68.3</c:v>
                </c:pt>
                <c:pt idx="21">
                  <c:v>82.9</c:v>
                </c:pt>
                <c:pt idx="22">
                  <c:v>53.8</c:v>
                </c:pt>
                <c:pt idx="23">
                  <c:v>49.9</c:v>
                </c:pt>
                <c:pt idx="24">
                  <c:v>4.5</c:v>
                </c:pt>
                <c:pt idx="25">
                  <c:v>54.4</c:v>
                </c:pt>
                <c:pt idx="26">
                  <c:v>73.3</c:v>
                </c:pt>
                <c:pt idx="27">
                  <c:v>16.8</c:v>
                </c:pt>
                <c:pt idx="28">
                  <c:v>27.9</c:v>
                </c:pt>
                <c:pt idx="29">
                  <c:v>29.8</c:v>
                </c:pt>
                <c:pt idx="30">
                  <c:v>24.6</c:v>
                </c:pt>
                <c:pt idx="31">
                  <c:v>55.8</c:v>
                </c:pt>
                <c:pt idx="32">
                  <c:v>10.8</c:v>
                </c:pt>
                <c:pt idx="33">
                  <c:v>87.7</c:v>
                </c:pt>
                <c:pt idx="34">
                  <c:v>67.9</c:v>
                </c:pt>
                <c:pt idx="35">
                  <c:v>72.6</c:v>
                </c:pt>
                <c:pt idx="36">
                  <c:v>73.8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'Q2 Analysis'!$A$3:$A$39</c15:f>
                <c15:dlblRangeCache>
                  <c:ptCount val="37"/>
                  <c:pt idx="0">
                    <c:v>Abia</c:v>
                  </c:pt>
                </c15:dlblRangeCache>
              </c15:datalabelsRange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30073554"/>
        <c:axId val="888690989"/>
      </c:scatterChart>
      <c:valAx>
        <c:axId val="83007355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1000" b="1" i="1" u="none" strike="noStrike" kern="1200" cap="none" spc="0" normalizeH="0" baseline="0">
                <a:solidFill>
                  <a:schemeClr val="tx1">
                    <a:lumMod val="95000"/>
                    <a:lumOff val="5000"/>
                  </a:schemeClr>
                </a:solidFill>
                <a:uFill>
                  <a:solidFill>
                    <a:schemeClr val="tx1">
                      <a:lumMod val="65000"/>
                      <a:lumOff val="35000"/>
                    </a:schemeClr>
                  </a:solidFill>
                </a:uFill>
                <a:latin typeface="+mn-lt"/>
                <a:ea typeface="+mn-ea"/>
                <a:cs typeface="+mn-cs"/>
              </a:defRPr>
            </a:pPr>
          </a:p>
        </c:txPr>
        <c:crossAx val="888690989"/>
        <c:crosses val="autoZero"/>
        <c:crossBetween val="midCat"/>
      </c:valAx>
      <c:valAx>
        <c:axId val="88869098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1000" b="1" i="1" u="none" strike="noStrike" kern="1200" cap="none" spc="0" normalizeH="0" baseline="0">
                <a:solidFill>
                  <a:schemeClr val="tx1">
                    <a:lumMod val="95000"/>
                    <a:lumOff val="5000"/>
                  </a:schemeClr>
                </a:solidFill>
                <a:uFill>
                  <a:solidFill>
                    <a:schemeClr val="tx1">
                      <a:lumMod val="65000"/>
                      <a:lumOff val="35000"/>
                    </a:schemeClr>
                  </a:solidFill>
                </a:uFill>
                <a:latin typeface="+mn-lt"/>
                <a:ea typeface="+mn-ea"/>
                <a:cs typeface="+mn-cs"/>
              </a:defRPr>
            </a:pPr>
          </a:p>
        </c:txPr>
        <c:crossAx val="830073554"/>
        <c:crosses val="autoZero"/>
        <c:crossBetween val="midCat"/>
      </c:valAx>
      <c:spPr>
        <a:noFill/>
        <a:ln w="9525" cap="flat" cmpd="sng" algn="ctr">
          <a:solidFill>
            <a:schemeClr val="tx1">
              <a:lumMod val="15000"/>
              <a:lumOff val="85000"/>
            </a:schemeClr>
          </a:solidFill>
          <a:round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919dbfca-bf5d-4d10-9fcd-31d96ba8e08f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Top 15 States: Youth Unemployment Rate (2023)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"Vs National Average"</c:f>
              <c:strCache>
                <c:ptCount val="1"/>
                <c:pt idx="0">
                  <c:v>Vs National Average</c:v>
                </c:pt>
              </c:strCache>
            </c:strRef>
          </c:tx>
          <c:spPr>
            <a:gradFill>
              <a:gsLst>
                <a:gs pos="0">
                  <a:schemeClr val="accent1">
                    <a:hueOff val="-1670000"/>
                  </a:schemeClr>
                </a:gs>
                <a:gs pos="100000">
                  <a:schemeClr val="accent1"/>
                </a:gs>
              </a:gsLst>
              <a:lin ang="5400000" scaled="0"/>
            </a:gradFill>
            <a:ln>
              <a:gradFill>
                <a:gsLst>
                  <a:gs pos="0">
                    <a:schemeClr val="accent1">
                      <a:lumMod val="75000"/>
                      <a:hueOff val="-1670000"/>
                    </a:schemeClr>
                  </a:gs>
                  <a:gs pos="100000">
                    <a:schemeClr val="accent1">
                      <a:lumMod val="75000"/>
                    </a:schemeClr>
                  </a:gs>
                </a:gsLst>
                <a:lin ang="5160000" scaled="1"/>
              </a:gra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'Q3 Analysis'!$B$4:$B$17</c:f>
              <c:strCache>
                <c:ptCount val="14"/>
                <c:pt idx="0">
                  <c:v>Abia</c:v>
                </c:pt>
                <c:pt idx="1">
                  <c:v>FCT</c:v>
                </c:pt>
                <c:pt idx="2">
                  <c:v>Rivers</c:v>
                </c:pt>
                <c:pt idx="3">
                  <c:v>Imo</c:v>
                </c:pt>
                <c:pt idx="4">
                  <c:v>Akwa Ibom</c:v>
                </c:pt>
                <c:pt idx="5">
                  <c:v>Bayelsa</c:v>
                </c:pt>
                <c:pt idx="6">
                  <c:v>Ebonyi</c:v>
                </c:pt>
                <c:pt idx="7">
                  <c:v>Ekiti</c:v>
                </c:pt>
                <c:pt idx="8">
                  <c:v>Delta</c:v>
                </c:pt>
                <c:pt idx="9">
                  <c:v>Adamawa</c:v>
                </c:pt>
                <c:pt idx="10">
                  <c:v>Edo</c:v>
                </c:pt>
                <c:pt idx="11">
                  <c:v>Cross River</c:v>
                </c:pt>
                <c:pt idx="12">
                  <c:v>Enugu</c:v>
                </c:pt>
                <c:pt idx="13">
                  <c:v>Taraba</c:v>
                </c:pt>
              </c:strCache>
            </c:strRef>
          </c:cat>
          <c:val>
            <c:numRef>
              <c:f>'Q3 Analysis'!$C$4:$C$17</c:f>
              <c:numCache>
                <c:formatCode>General</c:formatCode>
                <c:ptCount val="14"/>
                <c:pt idx="0">
                  <c:v>28.4</c:v>
                </c:pt>
                <c:pt idx="1">
                  <c:v>22.8</c:v>
                </c:pt>
                <c:pt idx="2">
                  <c:v>21.6</c:v>
                </c:pt>
                <c:pt idx="3">
                  <c:v>19.4</c:v>
                </c:pt>
                <c:pt idx="4">
                  <c:v>18.5</c:v>
                </c:pt>
                <c:pt idx="5">
                  <c:v>17.8</c:v>
                </c:pt>
                <c:pt idx="6">
                  <c:v>17.2</c:v>
                </c:pt>
                <c:pt idx="7">
                  <c:v>17</c:v>
                </c:pt>
                <c:pt idx="8">
                  <c:v>16.4</c:v>
                </c:pt>
                <c:pt idx="9">
                  <c:v>16.2</c:v>
                </c:pt>
                <c:pt idx="10">
                  <c:v>16.1</c:v>
                </c:pt>
                <c:pt idx="11">
                  <c:v>15.9</c:v>
                </c:pt>
                <c:pt idx="12">
                  <c:v>15.6</c:v>
                </c:pt>
                <c:pt idx="13">
                  <c:v>15.3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-25"/>
        <c:axId val="856045848"/>
        <c:axId val="749424179"/>
      </c:barChart>
      <c:lineChart>
        <c:grouping val="standard"/>
        <c:varyColors val="0"/>
        <c:ser>
          <c:idx val="1"/>
          <c:order val="1"/>
          <c:tx>
            <c:strRef>
              <c:f>"national average"</c:f>
              <c:strCache>
                <c:ptCount val="1"/>
                <c:pt idx="0">
                  <c:v>national average</c:v>
                </c:pt>
              </c:strCache>
            </c:strRef>
          </c:tx>
          <c:spPr>
            <a:ln w="12700" cap="rnd" cmpd="sng">
              <a:solidFill>
                <a:srgbClr val="C00000"/>
              </a:solidFill>
              <a:prstDash val="sysDash"/>
              <a:round/>
            </a:ln>
            <a:effectLst/>
            <a:sp3d contourW="12700"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'Q3 Analysis'!$B$4:$B$17</c:f>
              <c:strCache>
                <c:ptCount val="14"/>
                <c:pt idx="0">
                  <c:v>Abia</c:v>
                </c:pt>
                <c:pt idx="1">
                  <c:v>FCT</c:v>
                </c:pt>
                <c:pt idx="2">
                  <c:v>Rivers</c:v>
                </c:pt>
                <c:pt idx="3">
                  <c:v>Imo</c:v>
                </c:pt>
                <c:pt idx="4">
                  <c:v>Akwa Ibom</c:v>
                </c:pt>
                <c:pt idx="5">
                  <c:v>Bayelsa</c:v>
                </c:pt>
                <c:pt idx="6">
                  <c:v>Ebonyi</c:v>
                </c:pt>
                <c:pt idx="7">
                  <c:v>Ekiti</c:v>
                </c:pt>
                <c:pt idx="8">
                  <c:v>Delta</c:v>
                </c:pt>
                <c:pt idx="9">
                  <c:v>Adamawa</c:v>
                </c:pt>
                <c:pt idx="10">
                  <c:v>Edo</c:v>
                </c:pt>
                <c:pt idx="11">
                  <c:v>Cross River</c:v>
                </c:pt>
                <c:pt idx="12">
                  <c:v>Enugu</c:v>
                </c:pt>
                <c:pt idx="13">
                  <c:v>Taraba</c:v>
                </c:pt>
              </c:strCache>
            </c:strRef>
          </c:cat>
          <c:val>
            <c:numRef>
              <c:f>{15.51,15.51,15.51,15.51,15.51,15.51,15.51,15.51,15.51,15.51,15.51,15.51,15.51,15.51,15.51}</c:f>
              <c:numCache>
                <c:formatCode>General</c:formatCode>
                <c:ptCount val="15"/>
                <c:pt idx="0">
                  <c:v>15.51</c:v>
                </c:pt>
                <c:pt idx="1">
                  <c:v>15.51</c:v>
                </c:pt>
                <c:pt idx="2">
                  <c:v>15.51</c:v>
                </c:pt>
                <c:pt idx="3">
                  <c:v>15.51</c:v>
                </c:pt>
                <c:pt idx="4">
                  <c:v>15.51</c:v>
                </c:pt>
                <c:pt idx="5">
                  <c:v>15.51</c:v>
                </c:pt>
                <c:pt idx="6">
                  <c:v>15.51</c:v>
                </c:pt>
                <c:pt idx="7">
                  <c:v>15.51</c:v>
                </c:pt>
                <c:pt idx="8">
                  <c:v>15.51</c:v>
                </c:pt>
                <c:pt idx="9">
                  <c:v>15.51</c:v>
                </c:pt>
                <c:pt idx="10">
                  <c:v>15.51</c:v>
                </c:pt>
                <c:pt idx="11">
                  <c:v>15.51</c:v>
                </c:pt>
                <c:pt idx="12">
                  <c:v>15.51</c:v>
                </c:pt>
                <c:pt idx="13">
                  <c:v>15.51</c:v>
                </c:pt>
                <c:pt idx="14">
                  <c:v>15.51</c:v>
                </c:pt>
              </c:numCache>
            </c:numRef>
          </c:val>
          <c:smooth val="0"/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0"/>
        <c:smooth val="0"/>
        <c:axId val="747810345"/>
        <c:axId val="691450841"/>
      </c:lineChart>
      <c:catAx>
        <c:axId val="85604584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49424179"/>
        <c:crosses val="autoZero"/>
        <c:auto val="1"/>
        <c:lblAlgn val="ctr"/>
        <c:lblOffset val="100"/>
        <c:noMultiLvlLbl val="0"/>
      </c:catAx>
      <c:valAx>
        <c:axId val="749424179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56045848"/>
        <c:crosses val="autoZero"/>
        <c:crossBetween val="between"/>
      </c:valAx>
      <c:catAx>
        <c:axId val="747810345"/>
        <c:scaling>
          <c:orientation val="minMax"/>
        </c:scaling>
        <c:delete val="1"/>
        <c:axPos val="b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91450841"/>
        <c:crosses val="autoZero"/>
        <c:auto val="1"/>
        <c:lblAlgn val="ctr"/>
        <c:lblOffset val="100"/>
        <c:noMultiLvlLbl val="0"/>
      </c:catAx>
      <c:valAx>
        <c:axId val="691450841"/>
        <c:scaling>
          <c:orientation val="minMax"/>
        </c:scaling>
        <c:delete val="1"/>
        <c:axPos val="r"/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47810345"/>
        <c:crosses val="max"/>
        <c:crossBetween val="between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4bf58e99-9993-445f-9a54-e4dad7d9a619}"/>
      </c:ext>
    </c:extLst>
  </c:chart>
  <c:spPr>
    <a:solidFill>
      <a:schemeClr val="lt1">
        <a:lumMod val="96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Poverty &amp; Informal Employment Rate by Region</a:t>
            </a:r>
          </a:p>
        </c:rich>
      </c:tx>
      <c:layout/>
      <c:overlay val="0"/>
      <c:spPr>
        <a:solidFill>
          <a:schemeClr val="accent1">
            <a:lumMod val="60000"/>
            <a:lumOff val="40000"/>
          </a:schemeClr>
        </a:solidFill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'Q4 Analysis'!$B$3</c:f>
              <c:strCache>
                <c:ptCount val="1"/>
                <c:pt idx="0">
                  <c:v>Avg Poverty (%)</c:v>
                </c:pt>
              </c:strCache>
            </c:strRef>
          </c:tx>
          <c:spPr>
            <a:solidFill>
              <a:schemeClr val="accent2">
                <a:lumMod val="75000"/>
              </a:schemeClr>
            </a:solidFill>
            <a:ln>
              <a:gradFill>
                <a:gsLst>
                  <a:gs pos="0">
                    <a:schemeClr val="accent1"/>
                  </a:gs>
                  <a:gs pos="100000">
                    <a:schemeClr val="accent1">
                      <a:lumMod val="75000"/>
                    </a:schemeClr>
                  </a:gs>
                </a:gsLst>
                <a:lin ang="5160000" scaled="1"/>
              </a:gradFill>
            </a:ln>
            <a:effectLst>
              <a:outerShdw blurRad="76200" dist="25400" dir="2700000" algn="tl" rotWithShape="0">
                <a:schemeClr val="accent1">
                  <a:lumMod val="50000"/>
                  <a:alpha val="30000"/>
                </a:scheme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'Q4 Analysis'!$A$4:$A$9</c:f>
              <c:strCache>
                <c:ptCount val="6"/>
                <c:pt idx="0">
                  <c:v>North East</c:v>
                </c:pt>
                <c:pt idx="1">
                  <c:v>North West</c:v>
                </c:pt>
                <c:pt idx="2">
                  <c:v>North Central</c:v>
                </c:pt>
                <c:pt idx="3">
                  <c:v>South West</c:v>
                </c:pt>
                <c:pt idx="4">
                  <c:v>South South</c:v>
                </c:pt>
                <c:pt idx="5">
                  <c:v>South East</c:v>
                </c:pt>
              </c:strCache>
            </c:strRef>
          </c:cat>
          <c:val>
            <c:numRef>
              <c:f>'Q4 Analysis'!$B$4:$B$9</c:f>
              <c:numCache>
                <c:formatCode>0.0_ </c:formatCode>
                <c:ptCount val="6"/>
                <c:pt idx="0">
                  <c:v>68.85</c:v>
                </c:pt>
                <c:pt idx="1">
                  <c:v>71.3714285714286</c:v>
                </c:pt>
                <c:pt idx="2">
                  <c:v>50.9571428571429</c:v>
                </c:pt>
                <c:pt idx="3">
                  <c:v>21.9666666666667</c:v>
                </c:pt>
                <c:pt idx="4">
                  <c:v>28.7833333333333</c:v>
                </c:pt>
                <c:pt idx="5">
                  <c:v>37.38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-25"/>
        <c:axId val="793342271"/>
        <c:axId val="330531815"/>
      </c:barChart>
      <c:lineChart>
        <c:grouping val="standard"/>
        <c:varyColors val="0"/>
        <c:ser>
          <c:idx val="1"/>
          <c:order val="1"/>
          <c:tx>
            <c:strRef>
              <c:f>'Q4 Analysis'!$C$3</c:f>
              <c:strCache>
                <c:ptCount val="1"/>
                <c:pt idx="0">
                  <c:v>Avg Informal Employment (%)</c:v>
                </c:pt>
              </c:strCache>
            </c:strRef>
          </c:tx>
          <c:spPr>
            <a:ln w="28575" cap="rnd">
              <a:solidFill>
                <a:schemeClr val="accent5">
                  <a:lumMod val="50000"/>
                </a:schemeClr>
              </a:solidFill>
              <a:round/>
            </a:ln>
            <a:effectLst>
              <a:outerShdw blurRad="76200" dist="25400" dir="2700000" algn="tl" rotWithShape="0">
                <a:schemeClr val="accent2">
                  <a:lumMod val="50000"/>
                  <a:alpha val="30000"/>
                </a:schemeClr>
              </a:outerShdw>
            </a:effectLst>
          </c:spPr>
          <c:marker>
            <c:symbol val="none"/>
          </c:marker>
          <c:dLbls>
            <c:spPr>
              <a:gradFill>
                <a:gsLst>
                  <a:gs pos="0">
                    <a:schemeClr val="accent1">
                      <a:lumMod val="40000"/>
                      <a:lumOff val="60000"/>
                    </a:schemeClr>
                  </a:gs>
                  <a:gs pos="90000">
                    <a:schemeClr val="accent1"/>
                  </a:gs>
                </a:gsLst>
                <a:lin ang="5400000" scaled="0"/>
              </a:gradFill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200" b="0" i="0" u="none" strike="noStrike" kern="1200" cap="none" spc="0" normalizeH="0" baseline="0">
                    <a:solidFill>
                      <a:schemeClr val="tx1"/>
                    </a:solidFill>
                    <a:uFill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</a:uFill>
                    <a:latin typeface="+mn-lt"/>
                    <a:ea typeface="+mn-ea"/>
                    <a:cs typeface="+mn-cs"/>
                  </a:defRPr>
                </a:pPr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'Q4 Analysis'!$A$4:$A$9</c:f>
              <c:strCache>
                <c:ptCount val="6"/>
                <c:pt idx="0">
                  <c:v>North East</c:v>
                </c:pt>
                <c:pt idx="1">
                  <c:v>North West</c:v>
                </c:pt>
                <c:pt idx="2">
                  <c:v>North Central</c:v>
                </c:pt>
                <c:pt idx="3">
                  <c:v>South West</c:v>
                </c:pt>
                <c:pt idx="4">
                  <c:v>South South</c:v>
                </c:pt>
                <c:pt idx="5">
                  <c:v>South East</c:v>
                </c:pt>
              </c:strCache>
            </c:strRef>
          </c:cat>
          <c:val>
            <c:numRef>
              <c:f>'Q4 Analysis'!$C$4:$C$9</c:f>
              <c:numCache>
                <c:formatCode>0.0_ </c:formatCode>
                <c:ptCount val="6"/>
                <c:pt idx="0">
                  <c:v>68.85</c:v>
                </c:pt>
                <c:pt idx="1">
                  <c:v>96.3428571428571</c:v>
                </c:pt>
                <c:pt idx="2">
                  <c:v>90.7714285714286</c:v>
                </c:pt>
                <c:pt idx="3">
                  <c:v>85.4833333333333</c:v>
                </c:pt>
                <c:pt idx="4">
                  <c:v>85.7333333333333</c:v>
                </c:pt>
                <c:pt idx="5" c:formatCode="General">
                  <c:v>88.7</c:v>
                </c:pt>
              </c:numCache>
            </c:numRef>
          </c:val>
          <c:smooth val="0"/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0"/>
        <c:smooth val="0"/>
        <c:axId val="65333050"/>
        <c:axId val="755333157"/>
      </c:lineChart>
      <c:catAx>
        <c:axId val="79334227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1000" b="1" i="1" u="none" strike="noStrike" kern="1200" cap="none" spc="0" normalizeH="0" baseline="0">
                <a:solidFill>
                  <a:schemeClr val="tx1">
                    <a:lumMod val="95000"/>
                    <a:lumOff val="5000"/>
                  </a:schemeClr>
                </a:solidFill>
                <a:uFill>
                  <a:solidFill>
                    <a:schemeClr val="tx1">
                      <a:lumMod val="65000"/>
                      <a:lumOff val="35000"/>
                    </a:schemeClr>
                  </a:solidFill>
                </a:uFill>
                <a:latin typeface="+mn-lt"/>
                <a:ea typeface="+mn-ea"/>
                <a:cs typeface="+mn-cs"/>
              </a:defRPr>
            </a:pPr>
          </a:p>
        </c:txPr>
        <c:crossAx val="330531815"/>
        <c:crosses val="autoZero"/>
        <c:auto val="1"/>
        <c:lblAlgn val="ctr"/>
        <c:lblOffset val="100"/>
        <c:noMultiLvlLbl val="0"/>
      </c:catAx>
      <c:valAx>
        <c:axId val="330531815"/>
        <c:scaling>
          <c:orientation val="minMax"/>
        </c:scaling>
        <c:delete val="1"/>
        <c:axPos val="l"/>
        <c:numFmt formatCode="0.0_ 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93342271"/>
        <c:crosses val="autoZero"/>
        <c:crossBetween val="between"/>
      </c:valAx>
      <c:catAx>
        <c:axId val="65333050"/>
        <c:scaling>
          <c:orientation val="minMax"/>
        </c:scaling>
        <c:delete val="1"/>
        <c:axPos val="b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55333157"/>
        <c:crosses val="autoZero"/>
        <c:auto val="1"/>
        <c:lblAlgn val="ctr"/>
        <c:lblOffset val="100"/>
        <c:noMultiLvlLbl val="0"/>
      </c:catAx>
      <c:valAx>
        <c:axId val="755333157"/>
        <c:scaling>
          <c:orientation val="minMax"/>
        </c:scaling>
        <c:delete val="1"/>
        <c:axPos val="r"/>
        <c:numFmt formatCode="0.0_ 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5333050"/>
        <c:crosses val="max"/>
        <c:crossBetween val="between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f6442d32-1fc6-422e-8aaf-d5587ab98d2e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12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gradFill>
        <a:gsLst>
          <a:gs pos="0">
            <a:schemeClr val="phClr">
              <a:lumMod val="40000"/>
              <a:lumOff val="60000"/>
              <a:alpha val="91000"/>
            </a:schemeClr>
          </a:gs>
          <a:gs pos="90000">
            <a:schemeClr val="phClr"/>
          </a:gs>
        </a:gsLst>
        <a:lin ang="10800000" scaled="0"/>
      </a:gradFill>
      <a:ln>
        <a:gradFill>
          <a:gsLst>
            <a:gs pos="0">
              <a:schemeClr val="phClr"/>
            </a:gs>
            <a:gs pos="100000">
              <a:schemeClr val="phClr">
                <a:lumMod val="75000"/>
              </a:schemeClr>
            </a:gs>
          </a:gsLst>
          <a:lin ang="10800000" scaled="0"/>
        </a:gradFill>
      </a:ln>
      <a:effectLst>
        <a:outerShdw blurRad="76200" dist="25400" dir="2700000" algn="tl" rotWithShape="0">
          <a:schemeClr val="phClr">
            <a:lumMod val="50000"/>
            <a:alpha val="30000"/>
          </a:schemeClr>
        </a:outerShdw>
      </a:effectLst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1017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19050" cap="rnd">
        <a:noFill/>
        <a:round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9525">
        <a:solidFill>
          <a:schemeClr val="phClr"/>
        </a:solidFill>
      </a:ln>
      <a:effectLst/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10305">
  <cs:axisTitle>
    <cs:lnRef idx="0"/>
    <cs:fillRef idx="0"/>
    <cs:effectRef idx="0"/>
    <cs:fontRef idx="minor">
      <a:schemeClr val="dk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lt1">
          <a:lumMod val="96000"/>
        </a:schemeClr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>
              <a:hueOff val="-1670000"/>
            </a:schemeClr>
          </a:gs>
          <a:gs pos="100000">
            <a:schemeClr val="phClr"/>
          </a:gs>
        </a:gsLst>
        <a:lin ang="5400000" scaled="0"/>
      </a:gradFill>
      <a:ln>
        <a:gradFill>
          <a:gsLst>
            <a:gs pos="0">
              <a:schemeClr val="phClr">
                <a:lumMod val="75000"/>
                <a:hueOff val="-1670000"/>
              </a:schemeClr>
            </a:gs>
            <a:gs pos="100000">
              <a:schemeClr val="phClr">
                <a:lumMod val="75000"/>
              </a:schemeClr>
            </a:gs>
          </a:gsLst>
          <a:lin ang="5160000" scaled="1"/>
        </a:gradFill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gradFill>
          <a:gsLst>
            <a:gs pos="0">
              <a:schemeClr val="phClr">
                <a:hueOff val="-1670000"/>
              </a:schemeClr>
            </a:gs>
            <a:gs pos="100000">
              <a:schemeClr val="phClr"/>
            </a:gs>
          </a:gsLst>
          <a:lin ang="5160000" scaled="1"/>
        </a:gra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75000"/>
            <a:lumOff val="25000"/>
          </a:schemeClr>
        </a:solidFill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1030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gradFill>
        <a:gsLst>
          <a:gs pos="0">
            <a:schemeClr val="phClr">
              <a:lumMod val="40000"/>
              <a:lumOff val="60000"/>
            </a:schemeClr>
          </a:gs>
          <a:gs pos="90000">
            <a:schemeClr val="phClr"/>
          </a:gs>
        </a:gsLst>
        <a:lin ang="5400000" scaled="0"/>
      </a:gradFill>
      <a:ln>
        <a:gradFill>
          <a:gsLst>
            <a:gs pos="0">
              <a:schemeClr val="phClr"/>
            </a:gs>
            <a:gs pos="100000">
              <a:schemeClr val="phClr">
                <a:lumMod val="75000"/>
              </a:schemeClr>
            </a:gs>
          </a:gsLst>
          <a:lin ang="5160000" scaled="1"/>
        </a:gradFill>
      </a:ln>
      <a:effectLst>
        <a:outerShdw blurRad="76200" dist="25400" dir="2700000" algn="tl" rotWithShape="0">
          <a:schemeClr val="phClr">
            <a:lumMod val="50000"/>
            <a:alpha val="30000"/>
          </a:schemeClr>
        </a:outerShdw>
      </a:effectLst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>
      <cs:styleClr val="auto"/>
    </cs:effectRef>
    <cs:fontRef idx="minor">
      <a:schemeClr val="tx1"/>
    </cs:fontRef>
    <cs:spPr>
      <a:ln w="28575" cap="rnd">
        <a:solidFill>
          <a:schemeClr val="phClr"/>
        </a:solidFill>
        <a:round/>
      </a:ln>
      <a:effectLst>
        <a:outerShdw blurRad="76200" dist="25400" dir="2700000" algn="tl" rotWithShape="0">
          <a:schemeClr val="phClr">
            <a:lumMod val="50000"/>
            <a:alpha val="30000"/>
          </a:schemeClr>
        </a:outerShdw>
      </a:effectLst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101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gradFill>
        <a:gsLst>
          <a:gs pos="0">
            <a:schemeClr val="phClr">
              <a:lumMod val="40000"/>
              <a:lumOff val="60000"/>
            </a:schemeClr>
          </a:gs>
          <a:gs pos="90000">
            <a:schemeClr val="phClr"/>
          </a:gs>
        </a:gsLst>
        <a:lin ang="10800000" scaled="0"/>
      </a:gradFill>
      <a:ln>
        <a:gradFill>
          <a:gsLst>
            <a:gs pos="0">
              <a:schemeClr val="phClr"/>
            </a:gs>
            <a:gs pos="100000">
              <a:schemeClr val="phClr">
                <a:lumMod val="75000"/>
              </a:schemeClr>
            </a:gs>
          </a:gsLst>
          <a:lin ang="10800000" scaled="0"/>
        </a:gradFill>
      </a:ln>
      <a:effectLst>
        <a:outerShdw blurRad="76200" dist="25400" dir="2700000" algn="tl" rotWithShape="0">
          <a:schemeClr val="phClr">
            <a:lumMod val="50000"/>
            <a:alpha val="30000"/>
          </a:schemeClr>
        </a:outerShdw>
      </a:effectLst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1017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19050" cap="rnd">
        <a:noFill/>
        <a:round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9525">
        <a:solidFill>
          <a:schemeClr val="phClr"/>
        </a:solidFill>
      </a:ln>
      <a:effectLst/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10305">
  <cs:axisTitle>
    <cs:lnRef idx="0"/>
    <cs:fillRef idx="0"/>
    <cs:effectRef idx="0"/>
    <cs:fontRef idx="minor">
      <a:schemeClr val="dk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lt1">
          <a:lumMod val="96000"/>
        </a:schemeClr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>
              <a:hueOff val="-1670000"/>
            </a:schemeClr>
          </a:gs>
          <a:gs pos="100000">
            <a:schemeClr val="phClr"/>
          </a:gs>
        </a:gsLst>
        <a:lin ang="5400000" scaled="0"/>
      </a:gradFill>
      <a:ln>
        <a:gradFill>
          <a:gsLst>
            <a:gs pos="0">
              <a:schemeClr val="phClr">
                <a:lumMod val="75000"/>
                <a:hueOff val="-1670000"/>
              </a:schemeClr>
            </a:gs>
            <a:gs pos="100000">
              <a:schemeClr val="phClr">
                <a:lumMod val="75000"/>
              </a:schemeClr>
            </a:gs>
          </a:gsLst>
          <a:lin ang="5160000" scaled="1"/>
        </a:gradFill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gradFill>
          <a:gsLst>
            <a:gs pos="0">
              <a:schemeClr val="phClr">
                <a:hueOff val="-1670000"/>
              </a:schemeClr>
            </a:gs>
            <a:gs pos="100000">
              <a:schemeClr val="phClr"/>
            </a:gs>
          </a:gsLst>
          <a:lin ang="5160000" scaled="1"/>
        </a:gra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75000"/>
            <a:lumOff val="25000"/>
          </a:schemeClr>
        </a:solidFill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1030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gradFill>
        <a:gsLst>
          <a:gs pos="0">
            <a:schemeClr val="phClr">
              <a:lumMod val="40000"/>
              <a:lumOff val="60000"/>
            </a:schemeClr>
          </a:gs>
          <a:gs pos="90000">
            <a:schemeClr val="phClr"/>
          </a:gs>
        </a:gsLst>
        <a:lin ang="5400000" scaled="0"/>
      </a:gradFill>
      <a:ln>
        <a:gradFill>
          <a:gsLst>
            <a:gs pos="0">
              <a:schemeClr val="phClr"/>
            </a:gs>
            <a:gs pos="100000">
              <a:schemeClr val="phClr">
                <a:lumMod val="75000"/>
              </a:schemeClr>
            </a:gs>
          </a:gsLst>
          <a:lin ang="5160000" scaled="1"/>
        </a:gradFill>
      </a:ln>
      <a:effectLst>
        <a:outerShdw blurRad="76200" dist="25400" dir="2700000" algn="tl" rotWithShape="0">
          <a:schemeClr val="phClr">
            <a:lumMod val="50000"/>
            <a:alpha val="30000"/>
          </a:schemeClr>
        </a:outerShdw>
      </a:effectLst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>
      <cs:styleClr val="auto"/>
    </cs:effectRef>
    <cs:fontRef idx="minor">
      <a:schemeClr val="tx1"/>
    </cs:fontRef>
    <cs:spPr>
      <a:ln w="28575" cap="rnd">
        <a:solidFill>
          <a:schemeClr val="phClr"/>
        </a:solidFill>
        <a:round/>
      </a:ln>
      <a:effectLst>
        <a:outerShdw blurRad="76200" dist="25400" dir="2700000" algn="tl" rotWithShape="0">
          <a:schemeClr val="phClr">
            <a:lumMod val="50000"/>
            <a:alpha val="30000"/>
          </a:schemeClr>
        </a:outerShdw>
      </a:effectLst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4" Type="http://schemas.openxmlformats.org/officeDocument/2006/relationships/chart" Target="../charts/chart8.xml"/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5</xdr:col>
      <xdr:colOff>98425</xdr:colOff>
      <xdr:row>1</xdr:row>
      <xdr:rowOff>52705</xdr:rowOff>
    </xdr:from>
    <xdr:to>
      <xdr:col>10</xdr:col>
      <xdr:colOff>403860</xdr:colOff>
      <xdr:row>32</xdr:row>
      <xdr:rowOff>184150</xdr:rowOff>
    </xdr:to>
    <xdr:graphicFrame>
      <xdr:nvGraphicFramePr>
        <xdr:cNvPr id="9" name="Chart 8"/>
        <xdr:cNvGraphicFramePr/>
      </xdr:nvGraphicFramePr>
      <xdr:xfrm>
        <a:off x="5258435" y="290830"/>
        <a:ext cx="3353435" cy="649414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8</xdr:col>
      <xdr:colOff>52705</xdr:colOff>
      <xdr:row>0</xdr:row>
      <xdr:rowOff>9525</xdr:rowOff>
    </xdr:from>
    <xdr:to>
      <xdr:col>18</xdr:col>
      <xdr:colOff>530860</xdr:colOff>
      <xdr:row>16</xdr:row>
      <xdr:rowOff>184150</xdr:rowOff>
    </xdr:to>
    <xdr:graphicFrame>
      <xdr:nvGraphicFramePr>
        <xdr:cNvPr id="4" name="Chart 3"/>
        <xdr:cNvGraphicFramePr/>
      </xdr:nvGraphicFramePr>
      <xdr:xfrm>
        <a:off x="8939530" y="9525"/>
        <a:ext cx="6574155" cy="329882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4</xdr:col>
      <xdr:colOff>63500</xdr:colOff>
      <xdr:row>0</xdr:row>
      <xdr:rowOff>27940</xdr:rowOff>
    </xdr:from>
    <xdr:to>
      <xdr:col>13</xdr:col>
      <xdr:colOff>429260</xdr:colOff>
      <xdr:row>20</xdr:row>
      <xdr:rowOff>15240</xdr:rowOff>
    </xdr:to>
    <xdr:graphicFrame>
      <xdr:nvGraphicFramePr>
        <xdr:cNvPr id="2" name="Chart 1"/>
        <xdr:cNvGraphicFramePr/>
      </xdr:nvGraphicFramePr>
      <xdr:xfrm>
        <a:off x="5187950" y="27940"/>
        <a:ext cx="5852160" cy="384492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5</xdr:col>
      <xdr:colOff>133350</xdr:colOff>
      <xdr:row>0</xdr:row>
      <xdr:rowOff>144145</xdr:rowOff>
    </xdr:from>
    <xdr:to>
      <xdr:col>13</xdr:col>
      <xdr:colOff>355600</xdr:colOff>
      <xdr:row>20</xdr:row>
      <xdr:rowOff>3810</xdr:rowOff>
    </xdr:to>
    <xdr:graphicFrame>
      <xdr:nvGraphicFramePr>
        <xdr:cNvPr id="2" name="Chart 1"/>
        <xdr:cNvGraphicFramePr/>
      </xdr:nvGraphicFramePr>
      <xdr:xfrm>
        <a:off x="6781800" y="144145"/>
        <a:ext cx="5099050" cy="390779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9525</xdr:colOff>
      <xdr:row>8</xdr:row>
      <xdr:rowOff>5080</xdr:rowOff>
    </xdr:from>
    <xdr:to>
      <xdr:col>5</xdr:col>
      <xdr:colOff>588645</xdr:colOff>
      <xdr:row>44</xdr:row>
      <xdr:rowOff>179705</xdr:rowOff>
    </xdr:to>
    <xdr:graphicFrame>
      <xdr:nvGraphicFramePr>
        <xdr:cNvPr id="2" name="Chart 1"/>
        <xdr:cNvGraphicFramePr/>
      </xdr:nvGraphicFramePr>
      <xdr:xfrm>
        <a:off x="9525" y="1633855"/>
        <a:ext cx="3627120" cy="703262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27940</xdr:colOff>
      <xdr:row>8</xdr:row>
      <xdr:rowOff>9525</xdr:rowOff>
    </xdr:from>
    <xdr:to>
      <xdr:col>13</xdr:col>
      <xdr:colOff>586105</xdr:colOff>
      <xdr:row>27</xdr:row>
      <xdr:rowOff>139065</xdr:rowOff>
    </xdr:to>
    <xdr:graphicFrame>
      <xdr:nvGraphicFramePr>
        <xdr:cNvPr id="3" name="Chart 2"/>
        <xdr:cNvGraphicFramePr/>
      </xdr:nvGraphicFramePr>
      <xdr:xfrm>
        <a:off x="3685540" y="1638300"/>
        <a:ext cx="4825365" cy="37490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9525</xdr:colOff>
      <xdr:row>46</xdr:row>
      <xdr:rowOff>16510</xdr:rowOff>
    </xdr:from>
    <xdr:to>
      <xdr:col>14</xdr:col>
      <xdr:colOff>17780</xdr:colOff>
      <xdr:row>59</xdr:row>
      <xdr:rowOff>9525</xdr:rowOff>
    </xdr:to>
    <xdr:graphicFrame>
      <xdr:nvGraphicFramePr>
        <xdr:cNvPr id="4" name="Chart 3"/>
        <xdr:cNvGraphicFramePr/>
      </xdr:nvGraphicFramePr>
      <xdr:xfrm>
        <a:off x="9525" y="8884285"/>
        <a:ext cx="8542655" cy="246951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26670</xdr:colOff>
      <xdr:row>29</xdr:row>
      <xdr:rowOff>8255</xdr:rowOff>
    </xdr:from>
    <xdr:to>
      <xdr:col>13</xdr:col>
      <xdr:colOff>593090</xdr:colOff>
      <xdr:row>44</xdr:row>
      <xdr:rowOff>160020</xdr:rowOff>
    </xdr:to>
    <xdr:graphicFrame>
      <xdr:nvGraphicFramePr>
        <xdr:cNvPr id="5" name="Chart 4"/>
        <xdr:cNvGraphicFramePr/>
      </xdr:nvGraphicFramePr>
      <xdr:xfrm>
        <a:off x="3684270" y="5637530"/>
        <a:ext cx="4833620" cy="300926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nigeria_unemployment_poverty.csv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Q1 Analysis"/>
      <sheetName val="Q2 Analysis"/>
    </sheetNames>
    <sheetDataSet>
      <sheetData sheetId="0" refreshError="1"/>
      <sheetData sheetId="1" refreshError="1"/>
    </sheetDataSet>
  </externalBook>
</externalLink>
</file>

<file path=xl/tables/table1.xml><?xml version="1.0" encoding="utf-8"?>
<table xmlns="http://schemas.openxmlformats.org/spreadsheetml/2006/main" id="11" name="Table11" displayName="Table11" ref="A1:I38" totalsRowShown="0">
  <tableColumns count="9">
    <tableColumn id="1" name="State" dataDxfId="0"/>
    <tableColumn id="2" name="Region" dataDxfId="1"/>
    <tableColumn id="3" name="Unemployment Rate 2023 (%)" dataDxfId="2"/>
    <tableColumn id="4" name="Youth Unemployment Rate 2023 (%)" dataDxfId="3"/>
    <tableColumn id="5" name="Poverty Rate 2019 (%)" dataDxfId="4"/>
    <tableColumn id="6" name="Underemployment Rate 2023 (%)" dataDxfId="5"/>
    <tableColumn id="7" name="Informal Employment Rate (%)" dataDxfId="6"/>
    <tableColumn id="8" name="Primary Economic Activity" dataDxfId="7"/>
    <tableColumn id="9" name="Labour Force Participation Rate (%)" dataDxfId="8"/>
  </tableColumns>
  <tableStyleInfo name="TableStylePreset11_Accent3" showFirstColumn="1" showLastColumn="0" showRowStripes="1" showColumnStripes="0"/>
</table>
</file>

<file path=xl/tables/table2.xml><?xml version="1.0" encoding="utf-8"?>
<table xmlns="http://schemas.openxmlformats.org/spreadsheetml/2006/main" id="9" name="Table9" displayName="Table9" ref="A3:E40" totalsRowShown="0">
  <autoFilter xmlns:etc="http://www.wps.cn/officeDocument/2017/etCustomData" ref="A3:E40" etc:filterBottomFollowUsedRange="0"/>
  <tableColumns count="5">
    <tableColumn id="1" name="Rank"/>
    <tableColumn id="2" name="State"/>
    <tableColumn id="3" name="Region"/>
    <tableColumn id="4" name="Unemployment rate"/>
    <tableColumn id="5" name="Category" dataDxfId="9">
      <calculatedColumnFormula>IF(D4&gt;=13,"High Risk",IF(D4&gt;=9,"Moderate Risk","Lower Risk"))</calculatedColumnFormula>
    </tableColumn>
  </tableColumns>
  <tableStyleInfo name="TableStylePreset3_Accent1" showFirstColumn="0" showLastColumn="0" showRowStripes="1" showColumnStripes="0"/>
</table>
</file>

<file path=xl/tables/table3.xml><?xml version="1.0" encoding="utf-8"?>
<table xmlns="http://schemas.openxmlformats.org/spreadsheetml/2006/main" id="1" name="Table1" displayName="Table1" ref="F2:H8" totalsRowShown="0">
  <tableColumns count="3">
    <tableColumn id="1" name="Region"/>
    <tableColumn id="2" name="Avg Unemployment (%)"/>
    <tableColumn id="3" name="Avg Poverty (%)"/>
  </tableColumns>
  <tableStyleInfo name="TableStylePreset3_Accent1" showFirstColumn="0" showLastColumn="0" showRowStripes="1" showColumnStripes="0"/>
</table>
</file>

<file path=xl/tables/table4.xml><?xml version="1.0" encoding="utf-8"?>
<table xmlns="http://schemas.openxmlformats.org/spreadsheetml/2006/main" id="7" name="Table7" displayName="Table7" ref="A3:D39" headerRowCount="0" totalsRowShown="0">
  <tableColumns count="4">
    <tableColumn id="1" name="State">
      <calculatedColumnFormula>Raw_Data!A2</calculatedColumnFormula>
    </tableColumn>
    <tableColumn id="2" name="Region">
      <calculatedColumnFormula>Raw_Data!B2</calculatedColumnFormula>
    </tableColumn>
    <tableColumn id="3" name="Unemployment Rate (%)">
      <calculatedColumnFormula>Raw_Data!C2</calculatedColumnFormula>
    </tableColumn>
    <tableColumn id="4" name="Poverty Rate (%)">
      <calculatedColumnFormula>Raw_Data!E2</calculatedColumnFormula>
    </tableColumn>
  </tableColumns>
  <tableStyleInfo name="TableStylePreset10_Accent1" showFirstColumn="1" showLastColumn="0" showRowStripes="1" showColumnStripes="0"/>
</table>
</file>

<file path=xl/tables/table5.xml><?xml version="1.0" encoding="utf-8"?>
<table xmlns="http://schemas.openxmlformats.org/spreadsheetml/2006/main" id="2" name="Table2" displayName="Table2" ref="A3:D19" totalsRowShown="0">
  <autoFilter xmlns:etc="http://www.wps.cn/officeDocument/2017/etCustomData" ref="A3:D19" etc:filterBottomFollowUsedRange="0"/>
  <tableColumns count="4">
    <tableColumn id="1" name="Rank"/>
    <tableColumn id="2" name="State">
      <calculatedColumnFormula array="1">INDEX(Raw_Data!$A$2:$A$38,MATCH(LARGE(Raw_Data!$D$2:$D$38,A4),Raw_Data!$D$2:$D$38,0))</calculatedColumnFormula>
    </tableColumn>
    <tableColumn id="3" name="Youth Unemployment (%)">
      <calculatedColumnFormula>LARGE(Raw_Data!$D$2:$D$38,A4)</calculatedColumnFormula>
    </tableColumn>
    <tableColumn id="4" name="vs National Average" dataDxfId="10">
      <calculatedColumnFormula>C4-AVERAGE(Raw_Data!$D$2:$D$38)</calculatedColumnFormula>
    </tableColumn>
  </tableColumns>
  <tableStyleInfo name="TableStylePreset1_Accent1" showFirstColumn="0" showLastColumn="0" showRowStripes="1" showColumnStripes="0"/>
</table>
</file>

<file path=xl/tables/table6.xml><?xml version="1.0" encoding="utf-8"?>
<table xmlns="http://schemas.openxmlformats.org/spreadsheetml/2006/main" id="3" name="Table3" displayName="Table3" ref="A20:B22" totalsRowShown="0">
  <tableColumns count="2">
    <tableColumn id="1" name="National Youth Avg"/>
    <tableColumn id="2" name="15.51"/>
  </tableColumns>
  <tableStyleInfo name="TableStylePreset4_Accent2" showFirstColumn="0" showLastColumn="0" showRowStripes="1" showColumnStripes="0"/>
</table>
</file>

<file path=xl/tables/table7.xml><?xml version="1.0" encoding="utf-8"?>
<table xmlns="http://schemas.openxmlformats.org/spreadsheetml/2006/main" id="12" name="Table12" displayName="Table12" ref="A3:D9" totalsRowShown="0">
  <autoFilter xmlns:etc="http://www.wps.cn/officeDocument/2017/etCustomData" ref="A3:D9" etc:filterBottomFollowUsedRange="0"/>
  <tableColumns count="4">
    <tableColumn id="1" name="Region"/>
    <tableColumn id="2" name="Avg Poverty (%)" dataDxfId="11"/>
    <tableColumn id="3" name="Avg Informal Employment (%)"/>
    <tableColumn id="4" name="Avg Underemployment (%)"/>
  </tableColumns>
  <tableStyleInfo name="TableStylePreset2_Accent2" showFirstColumn="0" showLastColumn="0" showRowStripes="1" showColumnStripes="0"/>
</table>
</file>

<file path=xl/tables/table8.xml><?xml version="1.0" encoding="utf-8"?>
<table xmlns="http://schemas.openxmlformats.org/spreadsheetml/2006/main" id="13" name="Table13" displayName="Table13" ref="A11:E48" totalsRowShown="0">
  <tableColumns count="5">
    <tableColumn id="1" name="State">
      <calculatedColumnFormula>Raw_Data!A2</calculatedColumnFormula>
    </tableColumn>
    <tableColumn id="2" name="Region">
      <calculatedColumnFormula>Raw_Data!B2</calculatedColumnFormula>
    </tableColumn>
    <tableColumn id="3" name="Poverty Rate (%)">
      <calculatedColumnFormula>Raw_Data!E2</calculatedColumnFormula>
    </tableColumn>
    <tableColumn id="4" name="Informal Employment (%)">
      <calculatedColumnFormula>Raw_Data!G2</calculatedColumnFormula>
    </tableColumn>
    <tableColumn id="5" name="Underemployment (%)">
      <calculatedColumnFormula>Raw_Data!F2</calculatedColumnFormula>
    </tableColumn>
  </tableColumns>
  <tableStyleInfo name="tablestyleA27_5fff22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table" Target="../tables/table3.xml"/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.xml"/><Relationship Id="rId2" Type="http://schemas.openxmlformats.org/officeDocument/2006/relationships/table" Target="../tables/table5.xml"/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8.xml"/><Relationship Id="rId2" Type="http://schemas.openxmlformats.org/officeDocument/2006/relationships/table" Target="../tables/table7.xml"/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8"/>
  <sheetViews>
    <sheetView zoomScale="60" zoomScaleNormal="60" zoomScaleSheetLayoutView="60" topLeftCell="E1" workbookViewId="0">
      <selection activeCell="N30" sqref="N30"/>
    </sheetView>
  </sheetViews>
  <sheetFormatPr defaultColWidth="10.2857142857143" defaultRowHeight="15"/>
  <cols>
    <col min="1" max="1" width="12.8571428571429" customWidth="1"/>
    <col min="2" max="2" width="14.4285714285714" customWidth="1"/>
    <col min="3" max="3" width="39.1428571428571" customWidth="1"/>
    <col min="4" max="4" width="47.2857142857143" customWidth="1"/>
    <col min="5" max="5" width="29.2857142857143" customWidth="1"/>
    <col min="6" max="6" width="43.4285714285714" customWidth="1"/>
    <col min="7" max="7" width="39.7142857142857" customWidth="1"/>
    <col min="8" max="8" width="26.2857142857143" customWidth="1"/>
    <col min="9" max="9" width="45.7142857142857" customWidth="1"/>
  </cols>
  <sheetData>
    <row r="1" s="97" customFormat="1" ht="18.75" spans="1:9">
      <c r="A1" s="97" t="s">
        <v>0</v>
      </c>
      <c r="B1" s="97" t="s">
        <v>1</v>
      </c>
      <c r="C1" s="97" t="s">
        <v>2</v>
      </c>
      <c r="D1" s="97" t="s">
        <v>3</v>
      </c>
      <c r="E1" s="97" t="s">
        <v>4</v>
      </c>
      <c r="F1" s="97" t="s">
        <v>5</v>
      </c>
      <c r="G1" s="97" t="s">
        <v>6</v>
      </c>
      <c r="H1" s="97" t="s">
        <v>7</v>
      </c>
      <c r="I1" s="97" t="s">
        <v>8</v>
      </c>
    </row>
    <row r="2" ht="15.75" spans="1:9">
      <c r="A2" s="98" t="s">
        <v>9</v>
      </c>
      <c r="B2" s="98" t="s">
        <v>10</v>
      </c>
      <c r="C2" s="98">
        <v>18.7</v>
      </c>
      <c r="D2" s="98">
        <v>28.4</v>
      </c>
      <c r="E2" s="98">
        <v>34.2</v>
      </c>
      <c r="F2" s="98">
        <v>14.2</v>
      </c>
      <c r="G2" s="98">
        <v>88.5</v>
      </c>
      <c r="H2" s="98" t="s">
        <v>11</v>
      </c>
      <c r="I2" s="98">
        <v>74.3</v>
      </c>
    </row>
    <row r="3" ht="15.75" spans="1:9">
      <c r="A3" s="98" t="s">
        <v>12</v>
      </c>
      <c r="B3" s="98" t="s">
        <v>13</v>
      </c>
      <c r="C3" s="98">
        <v>9.8</v>
      </c>
      <c r="D3" s="98">
        <v>16.2</v>
      </c>
      <c r="E3" s="98">
        <v>72.3</v>
      </c>
      <c r="F3" s="98">
        <v>18.6</v>
      </c>
      <c r="G3" s="98">
        <v>95.2</v>
      </c>
      <c r="H3" s="98" t="s">
        <v>14</v>
      </c>
      <c r="I3" s="98">
        <v>80.1</v>
      </c>
    </row>
    <row r="4" ht="15.75" spans="1:9">
      <c r="A4" s="98" t="s">
        <v>15</v>
      </c>
      <c r="B4" s="98" t="s">
        <v>16</v>
      </c>
      <c r="C4" s="98">
        <v>11.2</v>
      </c>
      <c r="D4" s="98">
        <v>18.5</v>
      </c>
      <c r="E4" s="98">
        <v>36.8</v>
      </c>
      <c r="F4" s="98">
        <v>13.8</v>
      </c>
      <c r="G4" s="98">
        <v>87.6</v>
      </c>
      <c r="H4" s="98" t="s">
        <v>17</v>
      </c>
      <c r="I4" s="98">
        <v>76.2</v>
      </c>
    </row>
    <row r="5" ht="15.75" spans="1:9">
      <c r="A5" s="98" t="s">
        <v>18</v>
      </c>
      <c r="B5" s="98" t="s">
        <v>10</v>
      </c>
      <c r="C5" s="98">
        <v>8.4</v>
      </c>
      <c r="D5" s="98">
        <v>14.6</v>
      </c>
      <c r="E5" s="98">
        <v>22.5</v>
      </c>
      <c r="F5" s="98">
        <v>11.2</v>
      </c>
      <c r="G5" s="98">
        <v>85.3</v>
      </c>
      <c r="H5" s="98" t="s">
        <v>19</v>
      </c>
      <c r="I5" s="98">
        <v>75.8</v>
      </c>
    </row>
    <row r="6" ht="15.75" spans="1:9">
      <c r="A6" s="98" t="s">
        <v>20</v>
      </c>
      <c r="B6" s="98" t="s">
        <v>13</v>
      </c>
      <c r="C6" s="98">
        <v>8.1</v>
      </c>
      <c r="D6" s="98">
        <v>13.9</v>
      </c>
      <c r="E6" s="98">
        <v>61.9</v>
      </c>
      <c r="F6" s="98">
        <v>21.4</v>
      </c>
      <c r="G6" s="98">
        <v>96.1</v>
      </c>
      <c r="H6" s="98" t="s">
        <v>14</v>
      </c>
      <c r="I6" s="98">
        <v>82.4</v>
      </c>
    </row>
    <row r="7" ht="15.75" spans="1:9">
      <c r="A7" s="98" t="s">
        <v>21</v>
      </c>
      <c r="B7" s="98" t="s">
        <v>16</v>
      </c>
      <c r="C7" s="98">
        <v>10.6</v>
      </c>
      <c r="D7" s="98">
        <v>17.8</v>
      </c>
      <c r="E7" s="98">
        <v>24.9</v>
      </c>
      <c r="F7" s="98">
        <v>12.6</v>
      </c>
      <c r="G7" s="98">
        <v>84.7</v>
      </c>
      <c r="H7" s="98" t="s">
        <v>22</v>
      </c>
      <c r="I7" s="98">
        <v>74.9</v>
      </c>
    </row>
    <row r="8" ht="15.75" spans="1:9">
      <c r="A8" s="98" t="s">
        <v>23</v>
      </c>
      <c r="B8" s="98" t="s">
        <v>24</v>
      </c>
      <c r="C8" s="98">
        <v>7.6</v>
      </c>
      <c r="D8" s="98">
        <v>13.1</v>
      </c>
      <c r="E8" s="98">
        <v>57.1</v>
      </c>
      <c r="F8" s="98">
        <v>19.8</v>
      </c>
      <c r="G8" s="98">
        <v>94.3</v>
      </c>
      <c r="H8" s="98" t="s">
        <v>14</v>
      </c>
      <c r="I8" s="98">
        <v>81.6</v>
      </c>
    </row>
    <row r="9" ht="15.75" spans="1:9">
      <c r="A9" s="98" t="s">
        <v>25</v>
      </c>
      <c r="B9" s="98" t="s">
        <v>13</v>
      </c>
      <c r="C9" s="98">
        <v>7.3</v>
      </c>
      <c r="D9" s="98">
        <v>12.8</v>
      </c>
      <c r="E9" s="98">
        <v>74.8</v>
      </c>
      <c r="F9" s="98">
        <v>22.1</v>
      </c>
      <c r="G9" s="98">
        <v>96.8</v>
      </c>
      <c r="H9" s="98" t="s">
        <v>26</v>
      </c>
      <c r="I9" s="98">
        <v>78.3</v>
      </c>
    </row>
    <row r="10" ht="15.75" spans="1:9">
      <c r="A10" s="98" t="s">
        <v>27</v>
      </c>
      <c r="B10" s="98" t="s">
        <v>16</v>
      </c>
      <c r="C10" s="98">
        <v>9.3</v>
      </c>
      <c r="D10" s="98">
        <v>15.9</v>
      </c>
      <c r="E10" s="98">
        <v>50.9</v>
      </c>
      <c r="F10" s="98">
        <v>16.4</v>
      </c>
      <c r="G10" s="98">
        <v>91.2</v>
      </c>
      <c r="H10" s="98" t="s">
        <v>28</v>
      </c>
      <c r="I10" s="98">
        <v>77.5</v>
      </c>
    </row>
    <row r="11" ht="15.75" spans="1:9">
      <c r="A11" s="98" t="s">
        <v>29</v>
      </c>
      <c r="B11" s="98" t="s">
        <v>16</v>
      </c>
      <c r="C11" s="98">
        <v>9.8</v>
      </c>
      <c r="D11" s="98">
        <v>16.4</v>
      </c>
      <c r="E11" s="98">
        <v>19.8</v>
      </c>
      <c r="F11" s="98">
        <v>12.1</v>
      </c>
      <c r="G11" s="98">
        <v>83.4</v>
      </c>
      <c r="H11" s="98" t="s">
        <v>30</v>
      </c>
      <c r="I11" s="98">
        <v>75.3</v>
      </c>
    </row>
    <row r="12" ht="15.75" spans="1:9">
      <c r="A12" s="98" t="s">
        <v>31</v>
      </c>
      <c r="B12" s="98" t="s">
        <v>10</v>
      </c>
      <c r="C12" s="98">
        <v>10.4</v>
      </c>
      <c r="D12" s="98">
        <v>17.2</v>
      </c>
      <c r="E12" s="98">
        <v>66.1</v>
      </c>
      <c r="F12" s="98">
        <v>17.8</v>
      </c>
      <c r="G12" s="98">
        <v>93.6</v>
      </c>
      <c r="H12" s="98" t="s">
        <v>14</v>
      </c>
      <c r="I12" s="98">
        <v>79.8</v>
      </c>
    </row>
    <row r="13" ht="15.75" spans="1:9">
      <c r="A13" s="98" t="s">
        <v>32</v>
      </c>
      <c r="B13" s="98" t="s">
        <v>16</v>
      </c>
      <c r="C13" s="98">
        <v>9.6</v>
      </c>
      <c r="D13" s="98">
        <v>16.1</v>
      </c>
      <c r="E13" s="98">
        <v>29.5</v>
      </c>
      <c r="F13" s="98">
        <v>13.4</v>
      </c>
      <c r="G13" s="98">
        <v>86.2</v>
      </c>
      <c r="H13" s="98" t="s">
        <v>11</v>
      </c>
      <c r="I13" s="98">
        <v>75.6</v>
      </c>
    </row>
    <row r="14" ht="15.75" spans="1:9">
      <c r="A14" s="98" t="s">
        <v>33</v>
      </c>
      <c r="B14" s="98" t="s">
        <v>34</v>
      </c>
      <c r="C14" s="98">
        <v>10.1</v>
      </c>
      <c r="D14" s="98">
        <v>17</v>
      </c>
      <c r="E14" s="98">
        <v>28.2</v>
      </c>
      <c r="F14" s="98">
        <v>14.6</v>
      </c>
      <c r="G14" s="98">
        <v>87.8</v>
      </c>
      <c r="H14" s="98" t="s">
        <v>35</v>
      </c>
      <c r="I14" s="98">
        <v>74.1</v>
      </c>
    </row>
    <row r="15" ht="15.75" spans="1:9">
      <c r="A15" s="98" t="s">
        <v>36</v>
      </c>
      <c r="B15" s="98" t="s">
        <v>10</v>
      </c>
      <c r="C15" s="98">
        <v>9.2</v>
      </c>
      <c r="D15" s="98">
        <v>15.6</v>
      </c>
      <c r="E15" s="98">
        <v>36.8</v>
      </c>
      <c r="F15" s="98">
        <v>13.9</v>
      </c>
      <c r="G15" s="98">
        <v>87.2</v>
      </c>
      <c r="H15" s="98" t="s">
        <v>37</v>
      </c>
      <c r="I15" s="98">
        <v>75.2</v>
      </c>
    </row>
    <row r="16" ht="15.75" spans="1:9">
      <c r="A16" s="98" t="s">
        <v>38</v>
      </c>
      <c r="B16" s="98" t="s">
        <v>24</v>
      </c>
      <c r="C16" s="98">
        <v>14.1</v>
      </c>
      <c r="D16" s="98">
        <v>22.8</v>
      </c>
      <c r="E16" s="98">
        <v>12.4</v>
      </c>
      <c r="F16" s="98">
        <v>10.3</v>
      </c>
      <c r="G16" s="98">
        <v>72.4</v>
      </c>
      <c r="H16" s="98" t="s">
        <v>39</v>
      </c>
      <c r="I16" s="98">
        <v>78.6</v>
      </c>
    </row>
    <row r="17" ht="15.75" spans="1:9">
      <c r="A17" s="98" t="s">
        <v>40</v>
      </c>
      <c r="B17" s="98" t="s">
        <v>13</v>
      </c>
      <c r="C17" s="98">
        <v>8.6</v>
      </c>
      <c r="D17" s="98">
        <v>14.8</v>
      </c>
      <c r="E17" s="98">
        <v>63.6</v>
      </c>
      <c r="F17" s="98">
        <v>20.2</v>
      </c>
      <c r="G17" s="98">
        <v>95.4</v>
      </c>
      <c r="H17" s="98" t="s">
        <v>14</v>
      </c>
      <c r="I17" s="98">
        <v>81.2</v>
      </c>
    </row>
    <row r="18" ht="15.75" spans="1:9">
      <c r="A18" s="98" t="s">
        <v>41</v>
      </c>
      <c r="B18" s="98" t="s">
        <v>10</v>
      </c>
      <c r="C18" s="98">
        <v>11.8</v>
      </c>
      <c r="D18" s="98">
        <v>19.4</v>
      </c>
      <c r="E18" s="98">
        <v>27.3</v>
      </c>
      <c r="F18" s="98">
        <v>14.8</v>
      </c>
      <c r="G18" s="98">
        <v>88.9</v>
      </c>
      <c r="H18" s="98" t="s">
        <v>42</v>
      </c>
      <c r="I18" s="98">
        <v>74.6</v>
      </c>
    </row>
    <row r="19" ht="15.75" spans="1:9">
      <c r="A19" s="98" t="s">
        <v>43</v>
      </c>
      <c r="B19" s="98" t="s">
        <v>44</v>
      </c>
      <c r="C19" s="98">
        <v>7.9</v>
      </c>
      <c r="D19" s="98">
        <v>13.6</v>
      </c>
      <c r="E19" s="98">
        <v>87</v>
      </c>
      <c r="F19" s="98">
        <v>23.6</v>
      </c>
      <c r="G19" s="98">
        <v>97.2</v>
      </c>
      <c r="H19" s="98" t="s">
        <v>14</v>
      </c>
      <c r="I19" s="98">
        <v>83.5</v>
      </c>
    </row>
    <row r="20" ht="15.75" spans="1:9">
      <c r="A20" s="98" t="s">
        <v>45</v>
      </c>
      <c r="B20" s="98" t="s">
        <v>44</v>
      </c>
      <c r="C20" s="98">
        <v>8.4</v>
      </c>
      <c r="D20" s="98">
        <v>14.5</v>
      </c>
      <c r="E20" s="98">
        <v>43.3</v>
      </c>
      <c r="F20" s="98">
        <v>17.4</v>
      </c>
      <c r="G20" s="98">
        <v>92.8</v>
      </c>
      <c r="H20" s="98" t="s">
        <v>46</v>
      </c>
      <c r="I20" s="98">
        <v>80.3</v>
      </c>
    </row>
    <row r="21" ht="15.75" spans="1:9">
      <c r="A21" s="98" t="s">
        <v>47</v>
      </c>
      <c r="B21" s="98" t="s">
        <v>44</v>
      </c>
      <c r="C21" s="98">
        <v>7.8</v>
      </c>
      <c r="D21" s="98">
        <v>13.4</v>
      </c>
      <c r="E21" s="98">
        <v>56.6</v>
      </c>
      <c r="F21" s="98">
        <v>20.8</v>
      </c>
      <c r="G21" s="98">
        <v>95.6</v>
      </c>
      <c r="H21" s="98" t="s">
        <v>48</v>
      </c>
      <c r="I21" s="98">
        <v>82.1</v>
      </c>
    </row>
    <row r="22" ht="15.75" spans="1:9">
      <c r="A22" s="98" t="s">
        <v>49</v>
      </c>
      <c r="B22" s="98" t="s">
        <v>44</v>
      </c>
      <c r="C22" s="98">
        <v>7.6</v>
      </c>
      <c r="D22" s="98">
        <v>13.2</v>
      </c>
      <c r="E22" s="98">
        <v>68.3</v>
      </c>
      <c r="F22" s="98">
        <v>22.4</v>
      </c>
      <c r="G22" s="98">
        <v>96.4</v>
      </c>
      <c r="H22" s="98" t="s">
        <v>14</v>
      </c>
      <c r="I22" s="98">
        <v>83.2</v>
      </c>
    </row>
    <row r="23" ht="15.75" spans="1:9">
      <c r="A23" s="98" t="s">
        <v>50</v>
      </c>
      <c r="B23" s="98" t="s">
        <v>44</v>
      </c>
      <c r="C23" s="98">
        <v>7.4</v>
      </c>
      <c r="D23" s="98">
        <v>12.9</v>
      </c>
      <c r="E23" s="98">
        <v>82.9</v>
      </c>
      <c r="F23" s="98">
        <v>24.1</v>
      </c>
      <c r="G23" s="98">
        <v>97.5</v>
      </c>
      <c r="H23" s="98" t="s">
        <v>14</v>
      </c>
      <c r="I23" s="98">
        <v>84.1</v>
      </c>
    </row>
    <row r="24" ht="15.75" spans="1:9">
      <c r="A24" s="98" t="s">
        <v>51</v>
      </c>
      <c r="B24" s="98" t="s">
        <v>24</v>
      </c>
      <c r="C24" s="98">
        <v>8.9</v>
      </c>
      <c r="D24" s="98">
        <v>15.2</v>
      </c>
      <c r="E24" s="98">
        <v>53.8</v>
      </c>
      <c r="F24" s="98">
        <v>18.2</v>
      </c>
      <c r="G24" s="98">
        <v>93.1</v>
      </c>
      <c r="H24" s="98" t="s">
        <v>52</v>
      </c>
      <c r="I24" s="98">
        <v>80.8</v>
      </c>
    </row>
    <row r="25" ht="15.75" spans="1:9">
      <c r="A25" s="98" t="s">
        <v>53</v>
      </c>
      <c r="B25" s="98" t="s">
        <v>24</v>
      </c>
      <c r="C25" s="98">
        <v>8.2</v>
      </c>
      <c r="D25" s="98">
        <v>14.1</v>
      </c>
      <c r="E25" s="98">
        <v>49.9</v>
      </c>
      <c r="F25" s="98">
        <v>16.8</v>
      </c>
      <c r="G25" s="98">
        <v>91.8</v>
      </c>
      <c r="H25" s="98" t="s">
        <v>54</v>
      </c>
      <c r="I25" s="98">
        <v>79.4</v>
      </c>
    </row>
    <row r="26" ht="15.75" spans="1:9">
      <c r="A26" s="98" t="s">
        <v>55</v>
      </c>
      <c r="B26" s="98" t="s">
        <v>34</v>
      </c>
      <c r="C26" s="98">
        <v>5.5</v>
      </c>
      <c r="D26" s="98">
        <v>9.8</v>
      </c>
      <c r="E26" s="98">
        <v>4.5</v>
      </c>
      <c r="F26" s="98">
        <v>8.6</v>
      </c>
      <c r="G26" s="98">
        <v>78.2</v>
      </c>
      <c r="H26" s="98" t="s">
        <v>56</v>
      </c>
      <c r="I26" s="98">
        <v>76.4</v>
      </c>
    </row>
    <row r="27" ht="15.75" spans="1:9">
      <c r="A27" s="98" t="s">
        <v>57</v>
      </c>
      <c r="B27" s="98" t="s">
        <v>24</v>
      </c>
      <c r="C27" s="98">
        <v>8.6</v>
      </c>
      <c r="D27" s="98">
        <v>14.7</v>
      </c>
      <c r="E27" s="98">
        <v>54.4</v>
      </c>
      <c r="F27" s="98">
        <v>18.9</v>
      </c>
      <c r="G27" s="98">
        <v>93.8</v>
      </c>
      <c r="H27" s="98" t="s">
        <v>52</v>
      </c>
      <c r="I27" s="98">
        <v>81.4</v>
      </c>
    </row>
    <row r="28" ht="15.75" spans="1:9">
      <c r="A28" s="98" t="s">
        <v>58</v>
      </c>
      <c r="B28" s="98" t="s">
        <v>24</v>
      </c>
      <c r="C28" s="98">
        <v>7.8</v>
      </c>
      <c r="D28" s="98">
        <v>13.5</v>
      </c>
      <c r="E28" s="98">
        <v>73.3</v>
      </c>
      <c r="F28" s="98">
        <v>21.6</v>
      </c>
      <c r="G28" s="98">
        <v>95.9</v>
      </c>
      <c r="H28" s="98" t="s">
        <v>14</v>
      </c>
      <c r="I28" s="98">
        <v>82.8</v>
      </c>
    </row>
    <row r="29" ht="15.75" spans="1:9">
      <c r="A29" s="98" t="s">
        <v>59</v>
      </c>
      <c r="B29" s="98" t="s">
        <v>34</v>
      </c>
      <c r="C29" s="98">
        <v>7.2</v>
      </c>
      <c r="D29" s="98">
        <v>12.4</v>
      </c>
      <c r="E29" s="98">
        <v>16.8</v>
      </c>
      <c r="F29" s="98">
        <v>11.4</v>
      </c>
      <c r="G29" s="98">
        <v>84.6</v>
      </c>
      <c r="H29" s="98" t="s">
        <v>60</v>
      </c>
      <c r="I29" s="98">
        <v>76.8</v>
      </c>
    </row>
    <row r="30" ht="15.75" spans="1:9">
      <c r="A30" s="98" t="s">
        <v>61</v>
      </c>
      <c r="B30" s="98" t="s">
        <v>34</v>
      </c>
      <c r="C30" s="98">
        <v>8.8</v>
      </c>
      <c r="D30" s="98">
        <v>15</v>
      </c>
      <c r="E30" s="98">
        <v>27.9</v>
      </c>
      <c r="F30" s="98">
        <v>13.8</v>
      </c>
      <c r="G30" s="98">
        <v>87.4</v>
      </c>
      <c r="H30" s="98" t="s">
        <v>17</v>
      </c>
      <c r="I30" s="98">
        <v>76.1</v>
      </c>
    </row>
    <row r="31" ht="15.75" spans="1:9">
      <c r="A31" s="98" t="s">
        <v>62</v>
      </c>
      <c r="B31" s="98" t="s">
        <v>34</v>
      </c>
      <c r="C31" s="98">
        <v>9.4</v>
      </c>
      <c r="D31" s="98">
        <v>16.2</v>
      </c>
      <c r="E31" s="98">
        <v>29.8</v>
      </c>
      <c r="F31" s="98">
        <v>14.2</v>
      </c>
      <c r="G31" s="98">
        <v>88.1</v>
      </c>
      <c r="H31" s="98" t="s">
        <v>54</v>
      </c>
      <c r="I31" s="98">
        <v>75.4</v>
      </c>
    </row>
    <row r="32" ht="15.75" spans="1:9">
      <c r="A32" s="98" t="s">
        <v>63</v>
      </c>
      <c r="B32" s="98" t="s">
        <v>34</v>
      </c>
      <c r="C32" s="98">
        <v>8.1</v>
      </c>
      <c r="D32" s="98">
        <v>14</v>
      </c>
      <c r="E32" s="98">
        <v>24.6</v>
      </c>
      <c r="F32" s="98">
        <v>13.1</v>
      </c>
      <c r="G32" s="98">
        <v>86.8</v>
      </c>
      <c r="H32" s="98" t="s">
        <v>48</v>
      </c>
      <c r="I32" s="98">
        <v>76.9</v>
      </c>
    </row>
    <row r="33" ht="15.75" spans="1:9">
      <c r="A33" s="98" t="s">
        <v>64</v>
      </c>
      <c r="B33" s="98" t="s">
        <v>24</v>
      </c>
      <c r="C33" s="98">
        <v>8.3</v>
      </c>
      <c r="D33" s="98">
        <v>14.3</v>
      </c>
      <c r="E33" s="98">
        <v>55.8</v>
      </c>
      <c r="F33" s="98">
        <v>19.2</v>
      </c>
      <c r="G33" s="98">
        <v>94.1</v>
      </c>
      <c r="H33" s="98" t="s">
        <v>52</v>
      </c>
      <c r="I33" s="98">
        <v>81.1</v>
      </c>
    </row>
    <row r="34" ht="15.75" spans="1:9">
      <c r="A34" s="98" t="s">
        <v>65</v>
      </c>
      <c r="B34" s="98" t="s">
        <v>16</v>
      </c>
      <c r="C34" s="98">
        <v>13.4</v>
      </c>
      <c r="D34" s="98">
        <v>21.6</v>
      </c>
      <c r="E34" s="98">
        <v>10.8</v>
      </c>
      <c r="F34" s="98">
        <v>11.8</v>
      </c>
      <c r="G34" s="98">
        <v>81.3</v>
      </c>
      <c r="H34" s="98" t="s">
        <v>30</v>
      </c>
      <c r="I34" s="98">
        <v>75.8</v>
      </c>
    </row>
    <row r="35" ht="15.75" spans="1:9">
      <c r="A35" s="98" t="s">
        <v>66</v>
      </c>
      <c r="B35" s="98" t="s">
        <v>44</v>
      </c>
      <c r="C35" s="98">
        <v>7.5</v>
      </c>
      <c r="D35" s="98">
        <v>13</v>
      </c>
      <c r="E35" s="98">
        <v>87.7</v>
      </c>
      <c r="F35" s="98">
        <v>24.8</v>
      </c>
      <c r="G35" s="98">
        <v>97.8</v>
      </c>
      <c r="H35" s="98" t="s">
        <v>14</v>
      </c>
      <c r="I35" s="98">
        <v>84.6</v>
      </c>
    </row>
    <row r="36" ht="15.75" spans="1:9">
      <c r="A36" s="98" t="s">
        <v>67</v>
      </c>
      <c r="B36" s="98" t="s">
        <v>13</v>
      </c>
      <c r="C36" s="98">
        <v>8.9</v>
      </c>
      <c r="D36" s="98">
        <v>15.3</v>
      </c>
      <c r="E36" s="98">
        <v>67.9</v>
      </c>
      <c r="F36" s="98">
        <v>21.8</v>
      </c>
      <c r="G36" s="98">
        <v>96.2</v>
      </c>
      <c r="H36" s="98" t="s">
        <v>14</v>
      </c>
      <c r="I36" s="98">
        <v>82.3</v>
      </c>
    </row>
    <row r="37" ht="15.75" spans="1:9">
      <c r="A37" s="98" t="s">
        <v>68</v>
      </c>
      <c r="B37" s="98" t="s">
        <v>13</v>
      </c>
      <c r="C37" s="98">
        <v>7.8</v>
      </c>
      <c r="D37" s="98">
        <v>13.6</v>
      </c>
      <c r="E37" s="98">
        <v>72.6</v>
      </c>
      <c r="F37" s="98">
        <v>22.6</v>
      </c>
      <c r="G37" s="98">
        <v>96.6</v>
      </c>
      <c r="H37" s="98" t="s">
        <v>14</v>
      </c>
      <c r="I37" s="98">
        <v>83.1</v>
      </c>
    </row>
    <row r="38" ht="15.75" spans="1:9">
      <c r="A38" s="98" t="s">
        <v>69</v>
      </c>
      <c r="B38" s="98" t="s">
        <v>44</v>
      </c>
      <c r="C38" s="98">
        <v>7.6</v>
      </c>
      <c r="D38" s="98">
        <v>13.2</v>
      </c>
      <c r="E38" s="98">
        <v>73.8</v>
      </c>
      <c r="F38" s="98">
        <v>23.2</v>
      </c>
      <c r="G38" s="98">
        <v>97.1</v>
      </c>
      <c r="H38" s="98" t="s">
        <v>14</v>
      </c>
      <c r="I38" s="98">
        <v>83.8</v>
      </c>
    </row>
  </sheetData>
  <pageMargins left="0.75" right="0.75" top="1" bottom="1" header="0.5" footer="0.5"/>
  <headerFooter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9"/>
  <sheetViews>
    <sheetView zoomScale="70" zoomScaleNormal="70" topLeftCell="A4" workbookViewId="0">
      <selection activeCell="N16" sqref="N16"/>
    </sheetView>
  </sheetViews>
  <sheetFormatPr defaultColWidth="9.14285714285714" defaultRowHeight="15" outlineLevelCol="6"/>
  <cols>
    <col min="2" max="2" width="17.352380952381" customWidth="1"/>
    <col min="3" max="3" width="18.2857142857143" customWidth="1"/>
    <col min="4" max="4" width="19.1809523809524" customWidth="1"/>
    <col min="5" max="5" width="13.4285714285714" customWidth="1"/>
  </cols>
  <sheetData>
    <row r="1" ht="18.75" spans="1:7">
      <c r="A1" s="83"/>
      <c r="B1" s="84" t="s">
        <v>70</v>
      </c>
      <c r="C1" s="84"/>
      <c r="D1" s="84"/>
      <c r="E1" s="84"/>
      <c r="F1" s="84"/>
      <c r="G1" s="84"/>
    </row>
    <row r="3" s="81" customFormat="1" spans="1:7">
      <c r="A3" s="85" t="s">
        <v>71</v>
      </c>
      <c r="B3" s="86" t="s">
        <v>0</v>
      </c>
      <c r="C3" s="87" t="s">
        <v>1</v>
      </c>
      <c r="D3" s="87" t="s">
        <v>72</v>
      </c>
      <c r="E3" s="88" t="s">
        <v>73</v>
      </c>
    </row>
    <row r="4" ht="16" customHeight="1" spans="1:7">
      <c r="A4">
        <v>1</v>
      </c>
      <c r="B4" t="s">
        <v>9</v>
      </c>
      <c r="C4" t="s">
        <v>10</v>
      </c>
      <c r="D4">
        <v>18.7</v>
      </c>
      <c r="E4" s="89" t="str">
        <f>IF(D4&gt;=13,"High Risk",IF(D4&gt;=9,"Moderate Risk","Lower Risk"))</f>
        <v>High Risk</v>
      </c>
    </row>
    <row r="5" ht="14" customHeight="1" spans="1:7">
      <c r="A5">
        <v>2</v>
      </c>
      <c r="B5" t="s">
        <v>38</v>
      </c>
      <c r="C5" t="s">
        <v>24</v>
      </c>
      <c r="D5">
        <v>14.1</v>
      </c>
      <c r="E5" s="89" t="str">
        <f t="shared" ref="E5:E40" si="0">IF(D5&gt;=13,"High Risk",IF(D5&gt;=9,"Moderate Risk","Lower Risk"))</f>
        <v>High Risk</v>
      </c>
    </row>
    <row r="6" ht="17" customHeight="1" spans="1:7">
      <c r="A6">
        <v>3</v>
      </c>
      <c r="B6" t="s">
        <v>65</v>
      </c>
      <c r="C6" t="s">
        <v>16</v>
      </c>
      <c r="D6">
        <v>13.4</v>
      </c>
      <c r="E6" s="89" t="str">
        <f t="shared" si="0"/>
        <v>High Risk</v>
      </c>
    </row>
    <row r="7" ht="16" customHeight="1" spans="1:7">
      <c r="A7">
        <v>4</v>
      </c>
      <c r="B7" t="s">
        <v>41</v>
      </c>
      <c r="C7" t="s">
        <v>10</v>
      </c>
      <c r="D7">
        <v>11.8</v>
      </c>
      <c r="E7" s="89" t="str">
        <f t="shared" si="0"/>
        <v>Moderate Risk</v>
      </c>
    </row>
    <row r="8" customHeight="1" spans="1:7">
      <c r="A8">
        <v>5</v>
      </c>
      <c r="B8" t="s">
        <v>15</v>
      </c>
      <c r="C8" t="s">
        <v>16</v>
      </c>
      <c r="D8">
        <v>11.2</v>
      </c>
      <c r="E8" s="89" t="str">
        <f t="shared" si="0"/>
        <v>Moderate Risk</v>
      </c>
    </row>
    <row r="9" ht="17" customHeight="1" spans="1:7">
      <c r="A9">
        <v>6</v>
      </c>
      <c r="B9" t="s">
        <v>21</v>
      </c>
      <c r="C9" t="s">
        <v>16</v>
      </c>
      <c r="D9">
        <v>10.6</v>
      </c>
      <c r="E9" s="89" t="str">
        <f t="shared" si="0"/>
        <v>Moderate Risk</v>
      </c>
    </row>
    <row r="10" ht="14" customHeight="1" spans="1:7">
      <c r="A10">
        <v>7</v>
      </c>
      <c r="B10" t="s">
        <v>31</v>
      </c>
      <c r="C10" t="s">
        <v>10</v>
      </c>
      <c r="D10">
        <v>10.4</v>
      </c>
      <c r="E10" s="89" t="str">
        <f t="shared" si="0"/>
        <v>Moderate Risk</v>
      </c>
    </row>
    <row r="11" customHeight="1" spans="1:7">
      <c r="A11">
        <v>8</v>
      </c>
      <c r="B11" t="s">
        <v>33</v>
      </c>
      <c r="C11" t="s">
        <v>34</v>
      </c>
      <c r="D11">
        <v>10.1</v>
      </c>
      <c r="E11" s="89" t="str">
        <f t="shared" si="0"/>
        <v>Moderate Risk</v>
      </c>
    </row>
    <row r="12" customHeight="1" spans="1:7">
      <c r="A12">
        <v>9</v>
      </c>
      <c r="B12" t="s">
        <v>29</v>
      </c>
      <c r="C12" t="s">
        <v>16</v>
      </c>
      <c r="D12">
        <v>9.8</v>
      </c>
      <c r="E12" s="89" t="str">
        <f t="shared" si="0"/>
        <v>Moderate Risk</v>
      </c>
    </row>
    <row r="13" ht="16" customHeight="1" spans="1:7">
      <c r="A13">
        <v>10</v>
      </c>
      <c r="B13" t="s">
        <v>12</v>
      </c>
      <c r="C13" t="s">
        <v>13</v>
      </c>
      <c r="D13">
        <v>9.8</v>
      </c>
      <c r="E13" s="89" t="str">
        <f t="shared" si="0"/>
        <v>Moderate Risk</v>
      </c>
    </row>
    <row r="14" ht="16" customHeight="1" spans="1:7">
      <c r="A14">
        <v>11</v>
      </c>
      <c r="B14" t="s">
        <v>32</v>
      </c>
      <c r="C14" t="s">
        <v>16</v>
      </c>
      <c r="D14">
        <v>9.6</v>
      </c>
      <c r="E14" s="89" t="str">
        <f t="shared" si="0"/>
        <v>Moderate Risk</v>
      </c>
    </row>
    <row r="15" ht="17" customHeight="1" spans="1:7">
      <c r="A15">
        <v>12</v>
      </c>
      <c r="B15" t="s">
        <v>62</v>
      </c>
      <c r="C15" t="s">
        <v>34</v>
      </c>
      <c r="D15">
        <v>9.4</v>
      </c>
      <c r="E15" s="89" t="str">
        <f t="shared" si="0"/>
        <v>Moderate Risk</v>
      </c>
    </row>
    <row r="16" customHeight="1" spans="1:7">
      <c r="A16">
        <v>13</v>
      </c>
      <c r="B16" t="s">
        <v>27</v>
      </c>
      <c r="C16" t="s">
        <v>16</v>
      </c>
      <c r="D16">
        <v>9.3</v>
      </c>
      <c r="E16" s="89" t="str">
        <f t="shared" si="0"/>
        <v>Moderate Risk</v>
      </c>
    </row>
    <row r="17" ht="17" customHeight="1" spans="1:5">
      <c r="A17">
        <v>14</v>
      </c>
      <c r="B17" t="s">
        <v>36</v>
      </c>
      <c r="C17" t="s">
        <v>10</v>
      </c>
      <c r="D17">
        <v>9.2</v>
      </c>
      <c r="E17" s="89" t="str">
        <f t="shared" si="0"/>
        <v>Moderate Risk</v>
      </c>
    </row>
    <row r="18" ht="17" customHeight="1" spans="1:5">
      <c r="A18">
        <v>15</v>
      </c>
      <c r="B18" t="s">
        <v>67</v>
      </c>
      <c r="C18" t="s">
        <v>13</v>
      </c>
      <c r="D18">
        <v>8.9</v>
      </c>
      <c r="E18" s="89" t="str">
        <f t="shared" si="0"/>
        <v>Lower Risk</v>
      </c>
    </row>
    <row r="19" ht="18" customHeight="1" spans="1:5">
      <c r="A19">
        <v>16</v>
      </c>
      <c r="B19" t="s">
        <v>51</v>
      </c>
      <c r="C19" t="s">
        <v>24</v>
      </c>
      <c r="D19">
        <v>8.9</v>
      </c>
      <c r="E19" s="89" t="str">
        <f t="shared" si="0"/>
        <v>Lower Risk</v>
      </c>
    </row>
    <row r="20" ht="19" customHeight="1" spans="1:5">
      <c r="A20">
        <v>17</v>
      </c>
      <c r="B20" t="s">
        <v>61</v>
      </c>
      <c r="C20" t="s">
        <v>34</v>
      </c>
      <c r="D20">
        <v>8.8</v>
      </c>
      <c r="E20" s="89" t="str">
        <f t="shared" si="0"/>
        <v>Lower Risk</v>
      </c>
    </row>
    <row r="21" ht="18" customHeight="1" spans="1:5">
      <c r="A21">
        <v>18</v>
      </c>
      <c r="B21" t="s">
        <v>57</v>
      </c>
      <c r="C21" t="s">
        <v>24</v>
      </c>
      <c r="D21">
        <v>8.6</v>
      </c>
      <c r="E21" s="89" t="str">
        <f t="shared" si="0"/>
        <v>Lower Risk</v>
      </c>
    </row>
    <row r="22" ht="16" customHeight="1" spans="1:5">
      <c r="A22">
        <v>19</v>
      </c>
      <c r="B22" t="s">
        <v>40</v>
      </c>
      <c r="C22" t="s">
        <v>13</v>
      </c>
      <c r="D22">
        <v>8.6</v>
      </c>
      <c r="E22" s="89" t="str">
        <f t="shared" si="0"/>
        <v>Lower Risk</v>
      </c>
    </row>
    <row r="23" ht="18" customHeight="1" spans="1:5">
      <c r="A23">
        <v>20</v>
      </c>
      <c r="B23" t="s">
        <v>45</v>
      </c>
      <c r="C23" t="s">
        <v>44</v>
      </c>
      <c r="D23">
        <v>8.4</v>
      </c>
      <c r="E23" s="89" t="str">
        <f t="shared" si="0"/>
        <v>Lower Risk</v>
      </c>
    </row>
    <row r="24" ht="16" customHeight="1" spans="1:5">
      <c r="A24">
        <v>21</v>
      </c>
      <c r="B24" t="s">
        <v>18</v>
      </c>
      <c r="C24" t="s">
        <v>10</v>
      </c>
      <c r="D24">
        <v>8.4</v>
      </c>
      <c r="E24" s="89" t="str">
        <f t="shared" si="0"/>
        <v>Lower Risk</v>
      </c>
    </row>
    <row r="25" ht="17" customHeight="1" spans="1:5">
      <c r="A25">
        <v>22</v>
      </c>
      <c r="B25" t="s">
        <v>64</v>
      </c>
      <c r="C25" t="s">
        <v>24</v>
      </c>
      <c r="D25">
        <v>8.3</v>
      </c>
      <c r="E25" s="89" t="str">
        <f t="shared" si="0"/>
        <v>Lower Risk</v>
      </c>
    </row>
    <row r="26" ht="16" customHeight="1" spans="1:5">
      <c r="A26">
        <v>23</v>
      </c>
      <c r="B26" t="s">
        <v>53</v>
      </c>
      <c r="C26" t="s">
        <v>24</v>
      </c>
      <c r="D26">
        <v>8.2</v>
      </c>
      <c r="E26" s="89" t="str">
        <f t="shared" si="0"/>
        <v>Lower Risk</v>
      </c>
    </row>
    <row r="27" ht="16" customHeight="1" spans="1:5">
      <c r="A27">
        <v>24</v>
      </c>
      <c r="B27" t="s">
        <v>63</v>
      </c>
      <c r="C27" t="s">
        <v>34</v>
      </c>
      <c r="D27">
        <v>8.1</v>
      </c>
      <c r="E27" s="89" t="str">
        <f t="shared" si="0"/>
        <v>Lower Risk</v>
      </c>
    </row>
    <row r="28" ht="16" customHeight="1" spans="1:5">
      <c r="A28">
        <v>25</v>
      </c>
      <c r="B28" t="s">
        <v>20</v>
      </c>
      <c r="C28" t="s">
        <v>13</v>
      </c>
      <c r="D28">
        <v>8.1</v>
      </c>
      <c r="E28" s="89" t="str">
        <f t="shared" si="0"/>
        <v>Lower Risk</v>
      </c>
    </row>
    <row r="29" ht="16" customHeight="1" spans="1:5">
      <c r="A29">
        <v>26</v>
      </c>
      <c r="B29" t="s">
        <v>43</v>
      </c>
      <c r="C29" t="s">
        <v>44</v>
      </c>
      <c r="D29">
        <v>7.9</v>
      </c>
      <c r="E29" s="89" t="str">
        <f t="shared" si="0"/>
        <v>Lower Risk</v>
      </c>
    </row>
    <row r="30" ht="16" customHeight="1" spans="1:5">
      <c r="A30">
        <v>27</v>
      </c>
      <c r="B30" t="s">
        <v>68</v>
      </c>
      <c r="C30" t="s">
        <v>13</v>
      </c>
      <c r="D30">
        <v>7.8</v>
      </c>
      <c r="E30" s="89" t="str">
        <f t="shared" si="0"/>
        <v>Lower Risk</v>
      </c>
    </row>
    <row r="31" ht="16" customHeight="1" spans="1:5">
      <c r="A31">
        <v>28</v>
      </c>
      <c r="B31" t="s">
        <v>58</v>
      </c>
      <c r="C31" t="s">
        <v>24</v>
      </c>
      <c r="D31">
        <v>7.8</v>
      </c>
      <c r="E31" s="89" t="str">
        <f t="shared" si="0"/>
        <v>Lower Risk</v>
      </c>
    </row>
    <row r="32" ht="16" customHeight="1" spans="1:5">
      <c r="A32">
        <v>29</v>
      </c>
      <c r="B32" t="s">
        <v>47</v>
      </c>
      <c r="C32" t="s">
        <v>44</v>
      </c>
      <c r="D32">
        <v>7.8</v>
      </c>
      <c r="E32" s="89" t="str">
        <f t="shared" si="0"/>
        <v>Lower Risk</v>
      </c>
    </row>
    <row r="33" ht="16" customHeight="1" spans="1:5">
      <c r="A33">
        <v>30</v>
      </c>
      <c r="B33" t="s">
        <v>69</v>
      </c>
      <c r="C33" t="s">
        <v>44</v>
      </c>
      <c r="D33">
        <v>7.6</v>
      </c>
      <c r="E33" s="89" t="str">
        <f t="shared" si="0"/>
        <v>Lower Risk</v>
      </c>
    </row>
    <row r="34" ht="16" customHeight="1" spans="1:5">
      <c r="A34">
        <v>31</v>
      </c>
      <c r="B34" t="s">
        <v>49</v>
      </c>
      <c r="C34" t="s">
        <v>44</v>
      </c>
      <c r="D34">
        <v>7.6</v>
      </c>
      <c r="E34" s="89" t="str">
        <f t="shared" si="0"/>
        <v>Lower Risk</v>
      </c>
    </row>
    <row r="35" ht="16" customHeight="1" spans="1:5">
      <c r="A35">
        <v>32</v>
      </c>
      <c r="B35" t="s">
        <v>23</v>
      </c>
      <c r="C35" t="s">
        <v>24</v>
      </c>
      <c r="D35">
        <v>7.6</v>
      </c>
      <c r="E35" s="89" t="str">
        <f t="shared" si="0"/>
        <v>Lower Risk</v>
      </c>
    </row>
    <row r="36" ht="16" customHeight="1" spans="1:5">
      <c r="A36">
        <v>33</v>
      </c>
      <c r="B36" t="s">
        <v>66</v>
      </c>
      <c r="C36" t="s">
        <v>44</v>
      </c>
      <c r="D36">
        <v>7.5</v>
      </c>
      <c r="E36" s="89" t="str">
        <f t="shared" si="0"/>
        <v>Lower Risk</v>
      </c>
    </row>
    <row r="37" ht="16" customHeight="1" spans="1:5">
      <c r="A37">
        <v>34</v>
      </c>
      <c r="B37" t="s">
        <v>50</v>
      </c>
      <c r="C37" t="s">
        <v>44</v>
      </c>
      <c r="D37">
        <v>7.4</v>
      </c>
      <c r="E37" s="89" t="str">
        <f t="shared" si="0"/>
        <v>Lower Risk</v>
      </c>
    </row>
    <row r="38" ht="16" customHeight="1" spans="1:5">
      <c r="A38">
        <v>35</v>
      </c>
      <c r="B38" t="s">
        <v>25</v>
      </c>
      <c r="C38" t="s">
        <v>13</v>
      </c>
      <c r="D38">
        <v>7.3</v>
      </c>
      <c r="E38" s="89" t="str">
        <f t="shared" si="0"/>
        <v>Lower Risk</v>
      </c>
    </row>
    <row r="39" ht="16" customHeight="1" spans="1:5">
      <c r="A39">
        <v>36</v>
      </c>
      <c r="B39" t="s">
        <v>59</v>
      </c>
      <c r="C39" t="s">
        <v>34</v>
      </c>
      <c r="D39">
        <v>7.2</v>
      </c>
      <c r="E39" s="89" t="str">
        <f t="shared" si="0"/>
        <v>Lower Risk</v>
      </c>
    </row>
    <row r="40" ht="16" customHeight="1" spans="1:5">
      <c r="A40">
        <v>37</v>
      </c>
      <c r="B40" t="s">
        <v>55</v>
      </c>
      <c r="C40" t="s">
        <v>34</v>
      </c>
      <c r="D40">
        <v>5.5</v>
      </c>
      <c r="E40" s="89" t="str">
        <f t="shared" si="0"/>
        <v>Lower Risk</v>
      </c>
    </row>
    <row r="41" s="82" customFormat="1" ht="16" customHeight="1" spans="1:5">
      <c r="B41" s="90"/>
      <c r="C41" s="91"/>
    </row>
    <row r="42" ht="16" customHeight="1" spans="1:5">
      <c r="B42" s="92" t="s">
        <v>74</v>
      </c>
      <c r="C42" s="93">
        <f>AVERAGE(Raw_Data!$C$2:$C$38)</f>
        <v>9.18108108108108</v>
      </c>
    </row>
    <row r="43" ht="16" customHeight="1" spans="1:5">
      <c r="B43" s="94" t="s">
        <v>75</v>
      </c>
      <c r="C43" s="95" t="str" cm="1">
        <f t="array" ref="C43">INDEX(Raw_Data!$A$2:$A$38,MATCH(MAX(Raw_Data!$C$2:$C$38),Raw_Data!$C$2:$C$38,0))</f>
        <v>Abia</v>
      </c>
    </row>
    <row r="44" ht="17" customHeight="1" spans="1:5">
      <c r="B44" s="94" t="s">
        <v>76</v>
      </c>
      <c r="C44" s="95">
        <f>AVERAGEIF(Raw_Data!$B$2:$B$38,"North*",Raw_Data!$C$2:$C$38)</f>
        <v>8.41</v>
      </c>
    </row>
    <row r="45" ht="16" customHeight="1" spans="1:5">
      <c r="B45" s="94" t="s">
        <v>77</v>
      </c>
      <c r="C45" s="96">
        <f>AVERAGEIF(Raw_Data!$B$2:$B$38,"South*",Raw_Data!$C$2:$C$38)</f>
        <v>10.0882352941176</v>
      </c>
    </row>
    <row r="46" ht="22" customHeight="1"/>
    <row r="47" ht="20" customHeight="1"/>
    <row r="48" ht="19" customHeight="1"/>
    <row r="49" ht="20" customHeight="1"/>
  </sheetData>
  <sortState ref="B4:E40">
    <sortCondition ref="D4" descending="1"/>
  </sortState>
  <pageMargins left="0.75" right="0.75" top="1" bottom="1" header="0.5" footer="0.5"/>
  <headerFooter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9"/>
  <sheetViews>
    <sheetView zoomScale="70" zoomScaleNormal="70" topLeftCell="A3" workbookViewId="0">
      <selection activeCell="K37" sqref="K37"/>
    </sheetView>
  </sheetViews>
  <sheetFormatPr defaultColWidth="9.14285714285714" defaultRowHeight="15" outlineLevelCol="7"/>
  <cols>
    <col min="1" max="1" width="14.8571428571429" customWidth="1"/>
    <col min="2" max="2" width="14.7142857142857" customWidth="1"/>
    <col min="3" max="3" width="25" customWidth="1"/>
    <col min="4" max="4" width="17" customWidth="1"/>
    <col min="6" max="6" width="14" customWidth="1"/>
    <col min="7" max="7" width="24.1428571428571" customWidth="1"/>
    <col min="8" max="8" width="14.4285714285714" customWidth="1"/>
  </cols>
  <sheetData>
    <row r="1" ht="21" spans="1:8">
      <c r="A1" s="78" t="s">
        <v>78</v>
      </c>
      <c r="B1" s="79"/>
      <c r="C1" s="79"/>
      <c r="D1" s="79"/>
      <c r="E1" s="80"/>
    </row>
    <row r="2" spans="1:8">
      <c r="F2" t="s">
        <v>1</v>
      </c>
      <c r="G2" t="s">
        <v>79</v>
      </c>
      <c r="H2" t="s">
        <v>80</v>
      </c>
    </row>
    <row r="3" spans="1:8">
      <c r="A3" t="str">
        <f>Raw_Data!A2</f>
        <v>Abia</v>
      </c>
      <c r="B3" t="str">
        <f>Raw_Data!B2</f>
        <v>South East</v>
      </c>
      <c r="C3">
        <f>Raw_Data!C2</f>
        <v>18.7</v>
      </c>
      <c r="D3">
        <f>Raw_Data!E2</f>
        <v>34.2</v>
      </c>
      <c r="F3" t="s">
        <v>13</v>
      </c>
      <c r="G3">
        <f>AVERAGEIF($B$3:$B$39,"North East",$C$3:$C$39)</f>
        <v>8.41666666666667</v>
      </c>
      <c r="H3">
        <f>AVERAGEIF($B$3:$B$39,"North East",$D$3:$D$39)</f>
        <v>68.85</v>
      </c>
    </row>
    <row r="4" spans="1:8">
      <c r="A4" t="str">
        <f>Raw_Data!A3</f>
        <v>Adamawa</v>
      </c>
      <c r="B4" t="str">
        <f>Raw_Data!B3</f>
        <v>North East</v>
      </c>
      <c r="C4">
        <f>Raw_Data!C3</f>
        <v>9.8</v>
      </c>
      <c r="D4">
        <f>Raw_Data!E3</f>
        <v>72.3</v>
      </c>
      <c r="F4" t="s">
        <v>44</v>
      </c>
      <c r="G4">
        <f>AVERAGEIF($B$3:$B$39,"North West",$C$3:$C$39)</f>
        <v>7.74285714285714</v>
      </c>
      <c r="H4">
        <f>AVERAGEIF($B$3:$B$39,"North West",$D$3:$D$39)</f>
        <v>71.3714285714286</v>
      </c>
    </row>
    <row r="5" spans="1:8">
      <c r="A5" t="str">
        <f>Raw_Data!A4</f>
        <v>Akwa Ibom</v>
      </c>
      <c r="B5" t="str">
        <f>Raw_Data!B4</f>
        <v>South South</v>
      </c>
      <c r="C5">
        <f>Raw_Data!C4</f>
        <v>11.2</v>
      </c>
      <c r="D5">
        <f>Raw_Data!E4</f>
        <v>36.8</v>
      </c>
      <c r="F5" t="s">
        <v>24</v>
      </c>
      <c r="G5">
        <f>AVERAGEIF($B$3:$B$39,"North Central",$C$3:$C$39)</f>
        <v>9.07142857142857</v>
      </c>
      <c r="H5">
        <f>AVERAGEIF($B$3:$B$39,"North Central",$D$3:$D$39)</f>
        <v>50.9571428571429</v>
      </c>
    </row>
    <row r="6" spans="1:8">
      <c r="A6" t="str">
        <f>Raw_Data!A5</f>
        <v>Anambra</v>
      </c>
      <c r="B6" t="str">
        <f>Raw_Data!B5</f>
        <v>South East</v>
      </c>
      <c r="C6">
        <f>Raw_Data!C5</f>
        <v>8.4</v>
      </c>
      <c r="D6">
        <f>Raw_Data!E5</f>
        <v>22.5</v>
      </c>
      <c r="F6" t="s">
        <v>34</v>
      </c>
      <c r="G6">
        <f>AVERAGEIF($B$3:$B$39,"South West",$C$3:$C$39)</f>
        <v>8.18333333333333</v>
      </c>
      <c r="H6">
        <f>AVERAGEIF($B$3:$B$39,"South West",$D$3:$D$39)</f>
        <v>21.9666666666667</v>
      </c>
    </row>
    <row r="7" spans="1:8">
      <c r="A7" t="str">
        <f>Raw_Data!A6</f>
        <v>Bauchi</v>
      </c>
      <c r="B7" t="str">
        <f>Raw_Data!B6</f>
        <v>North East</v>
      </c>
      <c r="C7">
        <f>Raw_Data!C6</f>
        <v>8.1</v>
      </c>
      <c r="D7">
        <f>Raw_Data!E6</f>
        <v>61.9</v>
      </c>
      <c r="F7" t="s">
        <v>16</v>
      </c>
      <c r="G7">
        <f>AVERAGEIF($B$3:$B$39,"South South",$C$3:$C$39)</f>
        <v>10.65</v>
      </c>
      <c r="H7">
        <f>AVERAGEIF($B$3:$B$39,"South South",$D$3:$D$39)</f>
        <v>28.7833333333333</v>
      </c>
    </row>
    <row r="8" spans="1:8">
      <c r="A8" t="str">
        <f>Raw_Data!A7</f>
        <v>Bayelsa</v>
      </c>
      <c r="B8" t="str">
        <f>Raw_Data!B7</f>
        <v>South South</v>
      </c>
      <c r="C8">
        <f>Raw_Data!C7</f>
        <v>10.6</v>
      </c>
      <c r="D8">
        <f>Raw_Data!E7</f>
        <v>24.9</v>
      </c>
      <c r="F8" t="s">
        <v>10</v>
      </c>
      <c r="G8">
        <f>AVERAGEIF($B$3:$B$39,"South East",$C$3:$C$39)</f>
        <v>11.7</v>
      </c>
      <c r="H8">
        <f>AVERAGEIF($B$3:$B$39,"South East",$D$3:$D$39)</f>
        <v>37.38</v>
      </c>
    </row>
    <row r="9" spans="1:8">
      <c r="A9" t="str">
        <f>Raw_Data!A8</f>
        <v>Benue</v>
      </c>
      <c r="B9" t="str">
        <f>Raw_Data!B8</f>
        <v>North Central</v>
      </c>
      <c r="C9">
        <f>Raw_Data!C8</f>
        <v>7.6</v>
      </c>
      <c r="D9">
        <f>Raw_Data!E8</f>
        <v>57.1</v>
      </c>
    </row>
    <row r="10" spans="1:8">
      <c r="A10" t="str">
        <f>Raw_Data!A9</f>
        <v>Borno</v>
      </c>
      <c r="B10" t="str">
        <f>Raw_Data!B9</f>
        <v>North East</v>
      </c>
      <c r="C10">
        <f>Raw_Data!C9</f>
        <v>7.3</v>
      </c>
      <c r="D10">
        <f>Raw_Data!E9</f>
        <v>74.8</v>
      </c>
    </row>
    <row r="11" spans="1:8">
      <c r="A11" t="str">
        <f>Raw_Data!A10</f>
        <v>Cross River</v>
      </c>
      <c r="B11" t="str">
        <f>Raw_Data!B10</f>
        <v>South South</v>
      </c>
      <c r="C11">
        <f>Raw_Data!C10</f>
        <v>9.3</v>
      </c>
      <c r="D11">
        <f>Raw_Data!E10</f>
        <v>50.9</v>
      </c>
    </row>
    <row r="12" spans="1:8">
      <c r="A12" t="str">
        <f>Raw_Data!A11</f>
        <v>Delta</v>
      </c>
      <c r="B12" t="str">
        <f>Raw_Data!B11</f>
        <v>South South</v>
      </c>
      <c r="C12">
        <f>Raw_Data!C11</f>
        <v>9.8</v>
      </c>
      <c r="D12">
        <f>Raw_Data!E11</f>
        <v>19.8</v>
      </c>
    </row>
    <row r="13" spans="1:8">
      <c r="A13" t="str">
        <f>Raw_Data!A12</f>
        <v>Ebonyi</v>
      </c>
      <c r="B13" t="str">
        <f>Raw_Data!B12</f>
        <v>South East</v>
      </c>
      <c r="C13">
        <f>Raw_Data!C12</f>
        <v>10.4</v>
      </c>
      <c r="D13">
        <f>Raw_Data!E12</f>
        <v>66.1</v>
      </c>
    </row>
    <row r="14" spans="1:8">
      <c r="A14" t="str">
        <f>Raw_Data!A13</f>
        <v>Edo</v>
      </c>
      <c r="B14" t="str">
        <f>Raw_Data!B13</f>
        <v>South South</v>
      </c>
      <c r="C14">
        <f>Raw_Data!C13</f>
        <v>9.6</v>
      </c>
      <c r="D14">
        <f>Raw_Data!E13</f>
        <v>29.5</v>
      </c>
    </row>
    <row r="15" spans="1:8">
      <c r="A15" t="str">
        <f>Raw_Data!A14</f>
        <v>Ekiti</v>
      </c>
      <c r="B15" t="str">
        <f>Raw_Data!B14</f>
        <v>South West</v>
      </c>
      <c r="C15">
        <f>Raw_Data!C14</f>
        <v>10.1</v>
      </c>
      <c r="D15">
        <f>Raw_Data!E14</f>
        <v>28.2</v>
      </c>
    </row>
    <row r="16" spans="1:8">
      <c r="A16" t="str">
        <f>Raw_Data!A15</f>
        <v>Enugu</v>
      </c>
      <c r="B16" t="str">
        <f>Raw_Data!B15</f>
        <v>South East</v>
      </c>
      <c r="C16">
        <f>Raw_Data!C15</f>
        <v>9.2</v>
      </c>
      <c r="D16">
        <f>Raw_Data!E15</f>
        <v>36.8</v>
      </c>
    </row>
    <row r="17" spans="1:4">
      <c r="A17" t="str">
        <f>Raw_Data!A16</f>
        <v>FCT</v>
      </c>
      <c r="B17" t="str">
        <f>Raw_Data!B16</f>
        <v>North Central</v>
      </c>
      <c r="C17">
        <f>Raw_Data!C16</f>
        <v>14.1</v>
      </c>
      <c r="D17">
        <f>Raw_Data!E16</f>
        <v>12.4</v>
      </c>
    </row>
    <row r="18" spans="1:4">
      <c r="A18" t="str">
        <f>Raw_Data!A17</f>
        <v>Gombe</v>
      </c>
      <c r="B18" t="str">
        <f>Raw_Data!B17</f>
        <v>North East</v>
      </c>
      <c r="C18">
        <f>Raw_Data!C17</f>
        <v>8.6</v>
      </c>
      <c r="D18">
        <f>Raw_Data!E17</f>
        <v>63.6</v>
      </c>
    </row>
    <row r="19" spans="1:4">
      <c r="A19" t="str">
        <f>Raw_Data!A18</f>
        <v>Imo</v>
      </c>
      <c r="B19" t="str">
        <f>Raw_Data!B18</f>
        <v>South East</v>
      </c>
      <c r="C19">
        <f>Raw_Data!C18</f>
        <v>11.8</v>
      </c>
      <c r="D19">
        <f>Raw_Data!E18</f>
        <v>27.3</v>
      </c>
    </row>
    <row r="20" spans="1:4">
      <c r="A20" t="str">
        <f>Raw_Data!A19</f>
        <v>Jigawa</v>
      </c>
      <c r="B20" t="str">
        <f>Raw_Data!B19</f>
        <v>North West</v>
      </c>
      <c r="C20">
        <f>Raw_Data!C19</f>
        <v>7.9</v>
      </c>
      <c r="D20">
        <f>Raw_Data!E19</f>
        <v>87</v>
      </c>
    </row>
    <row r="21" spans="1:4">
      <c r="A21" t="str">
        <f>Raw_Data!A20</f>
        <v>Kaduna</v>
      </c>
      <c r="B21" t="str">
        <f>Raw_Data!B20</f>
        <v>North West</v>
      </c>
      <c r="C21">
        <f>Raw_Data!C20</f>
        <v>8.4</v>
      </c>
      <c r="D21">
        <f>Raw_Data!E20</f>
        <v>43.3</v>
      </c>
    </row>
    <row r="22" spans="1:4">
      <c r="A22" t="str">
        <f>Raw_Data!A21</f>
        <v>Kano</v>
      </c>
      <c r="B22" t="str">
        <f>Raw_Data!B21</f>
        <v>North West</v>
      </c>
      <c r="C22">
        <f>Raw_Data!C21</f>
        <v>7.8</v>
      </c>
      <c r="D22">
        <f>Raw_Data!E21</f>
        <v>56.6</v>
      </c>
    </row>
    <row r="23" spans="1:4">
      <c r="A23" t="str">
        <f>Raw_Data!A22</f>
        <v>Katsina</v>
      </c>
      <c r="B23" t="str">
        <f>Raw_Data!B22</f>
        <v>North West</v>
      </c>
      <c r="C23">
        <f>Raw_Data!C22</f>
        <v>7.6</v>
      </c>
      <c r="D23">
        <f>Raw_Data!E22</f>
        <v>68.3</v>
      </c>
    </row>
    <row r="24" spans="1:4">
      <c r="A24" t="str">
        <f>Raw_Data!A23</f>
        <v>Kebbi</v>
      </c>
      <c r="B24" t="str">
        <f>Raw_Data!B23</f>
        <v>North West</v>
      </c>
      <c r="C24">
        <f>Raw_Data!C23</f>
        <v>7.4</v>
      </c>
      <c r="D24">
        <f>Raw_Data!E23</f>
        <v>82.9</v>
      </c>
    </row>
    <row r="25" spans="1:4">
      <c r="A25" t="str">
        <f>Raw_Data!A24</f>
        <v>Kogi</v>
      </c>
      <c r="B25" t="str">
        <f>Raw_Data!B24</f>
        <v>North Central</v>
      </c>
      <c r="C25">
        <f>Raw_Data!C24</f>
        <v>8.9</v>
      </c>
      <c r="D25">
        <f>Raw_Data!E24</f>
        <v>53.8</v>
      </c>
    </row>
    <row r="26" spans="1:4">
      <c r="A26" t="str">
        <f>Raw_Data!A25</f>
        <v>Kwara</v>
      </c>
      <c r="B26" t="str">
        <f>Raw_Data!B25</f>
        <v>North Central</v>
      </c>
      <c r="C26">
        <f>Raw_Data!C25</f>
        <v>8.2</v>
      </c>
      <c r="D26">
        <f>Raw_Data!E25</f>
        <v>49.9</v>
      </c>
    </row>
    <row r="27" spans="1:4">
      <c r="A27" t="str">
        <f>Raw_Data!A26</f>
        <v>Lagos</v>
      </c>
      <c r="B27" t="str">
        <f>Raw_Data!B26</f>
        <v>South West</v>
      </c>
      <c r="C27">
        <f>Raw_Data!C26</f>
        <v>5.5</v>
      </c>
      <c r="D27">
        <f>Raw_Data!E26</f>
        <v>4.5</v>
      </c>
    </row>
    <row r="28" spans="1:4">
      <c r="A28" t="str">
        <f>Raw_Data!A27</f>
        <v>Nasarawa</v>
      </c>
      <c r="B28" t="str">
        <f>Raw_Data!B27</f>
        <v>North Central</v>
      </c>
      <c r="C28">
        <f>Raw_Data!C27</f>
        <v>8.6</v>
      </c>
      <c r="D28">
        <f>Raw_Data!E27</f>
        <v>54.4</v>
      </c>
    </row>
    <row r="29" spans="1:4">
      <c r="A29" t="str">
        <f>Raw_Data!A28</f>
        <v>Niger</v>
      </c>
      <c r="B29" t="str">
        <f>Raw_Data!B28</f>
        <v>North Central</v>
      </c>
      <c r="C29">
        <f>Raw_Data!C28</f>
        <v>7.8</v>
      </c>
      <c r="D29">
        <f>Raw_Data!E28</f>
        <v>73.3</v>
      </c>
    </row>
    <row r="30" spans="1:4">
      <c r="A30" t="str">
        <f>Raw_Data!A29</f>
        <v>Ogun</v>
      </c>
      <c r="B30" t="str">
        <f>Raw_Data!B29</f>
        <v>South West</v>
      </c>
      <c r="C30">
        <f>Raw_Data!C29</f>
        <v>7.2</v>
      </c>
      <c r="D30">
        <f>Raw_Data!E29</f>
        <v>16.8</v>
      </c>
    </row>
    <row r="31" spans="1:4">
      <c r="A31" t="str">
        <f>Raw_Data!A30</f>
        <v>Ondo</v>
      </c>
      <c r="B31" t="str">
        <f>Raw_Data!B30</f>
        <v>South West</v>
      </c>
      <c r="C31">
        <f>Raw_Data!C30</f>
        <v>8.8</v>
      </c>
      <c r="D31">
        <f>Raw_Data!E30</f>
        <v>27.9</v>
      </c>
    </row>
    <row r="32" spans="1:4">
      <c r="A32" t="str">
        <f>Raw_Data!A31</f>
        <v>Osun</v>
      </c>
      <c r="B32" t="str">
        <f>Raw_Data!B31</f>
        <v>South West</v>
      </c>
      <c r="C32">
        <f>Raw_Data!C31</f>
        <v>9.4</v>
      </c>
      <c r="D32">
        <f>Raw_Data!E31</f>
        <v>29.8</v>
      </c>
    </row>
    <row r="33" spans="1:4">
      <c r="A33" t="str">
        <f>Raw_Data!A32</f>
        <v>Oyo</v>
      </c>
      <c r="B33" t="str">
        <f>Raw_Data!B32</f>
        <v>South West</v>
      </c>
      <c r="C33">
        <f>Raw_Data!C32</f>
        <v>8.1</v>
      </c>
      <c r="D33">
        <f>Raw_Data!E32</f>
        <v>24.6</v>
      </c>
    </row>
    <row r="34" spans="1:4">
      <c r="A34" t="str">
        <f>Raw_Data!A33</f>
        <v>Plateau</v>
      </c>
      <c r="B34" t="str">
        <f>Raw_Data!B33</f>
        <v>North Central</v>
      </c>
      <c r="C34">
        <f>Raw_Data!C33</f>
        <v>8.3</v>
      </c>
      <c r="D34">
        <f>Raw_Data!E33</f>
        <v>55.8</v>
      </c>
    </row>
    <row r="35" spans="1:4">
      <c r="A35" t="str">
        <f>Raw_Data!A34</f>
        <v>Rivers</v>
      </c>
      <c r="B35" t="str">
        <f>Raw_Data!B34</f>
        <v>South South</v>
      </c>
      <c r="C35">
        <f>Raw_Data!C34</f>
        <v>13.4</v>
      </c>
      <c r="D35">
        <f>Raw_Data!E34</f>
        <v>10.8</v>
      </c>
    </row>
    <row r="36" spans="1:4">
      <c r="A36" t="str">
        <f>Raw_Data!A35</f>
        <v>Sokoto</v>
      </c>
      <c r="B36" t="str">
        <f>Raw_Data!B35</f>
        <v>North West</v>
      </c>
      <c r="C36">
        <f>Raw_Data!C35</f>
        <v>7.5</v>
      </c>
      <c r="D36">
        <f>Raw_Data!E35</f>
        <v>87.7</v>
      </c>
    </row>
    <row r="37" spans="1:4">
      <c r="A37" t="str">
        <f>Raw_Data!A36</f>
        <v>Taraba</v>
      </c>
      <c r="B37" t="str">
        <f>Raw_Data!B36</f>
        <v>North East</v>
      </c>
      <c r="C37">
        <f>Raw_Data!C36</f>
        <v>8.9</v>
      </c>
      <c r="D37">
        <f>Raw_Data!E36</f>
        <v>67.9</v>
      </c>
    </row>
    <row r="38" spans="1:4">
      <c r="A38" t="str">
        <f>Raw_Data!A37</f>
        <v>Yobe</v>
      </c>
      <c r="B38" t="str">
        <f>Raw_Data!B37</f>
        <v>North East</v>
      </c>
      <c r="C38">
        <f>Raw_Data!C37</f>
        <v>7.8</v>
      </c>
      <c r="D38">
        <f>Raw_Data!E37</f>
        <v>72.6</v>
      </c>
    </row>
    <row r="39" spans="1:4">
      <c r="A39" t="str">
        <f>Raw_Data!A38</f>
        <v>Zamfara</v>
      </c>
      <c r="B39" t="str">
        <f>Raw_Data!B38</f>
        <v>North West</v>
      </c>
      <c r="C39">
        <f>Raw_Data!C38</f>
        <v>7.6</v>
      </c>
      <c r="D39">
        <f>Raw_Data!E38</f>
        <v>73.8</v>
      </c>
    </row>
  </sheetData>
  <pageMargins left="0.75" right="0.75" top="1" bottom="1" header="0.5" footer="0.5"/>
  <headerFooter/>
  <drawing r:id="rId1"/>
  <tableParts count="2">
    <tablePart r:id="rId2"/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2"/>
  <sheetViews>
    <sheetView workbookViewId="0">
      <selection activeCell="A1" sqref="A1:D1"/>
    </sheetView>
  </sheetViews>
  <sheetFormatPr defaultColWidth="9.14285714285714" defaultRowHeight="15" outlineLevelCol="3"/>
  <cols>
    <col min="1" max="1" width="18.7142857142857" customWidth="1"/>
    <col min="2" max="2" width="11.5714285714286" customWidth="1"/>
    <col min="3" max="3" width="26.2857142857143" customWidth="1"/>
    <col min="4" max="4" width="20.2857142857143" customWidth="1"/>
  </cols>
  <sheetData>
    <row r="1" ht="18.75" spans="1:4">
      <c r="A1" s="75" t="s">
        <v>81</v>
      </c>
      <c r="B1" s="75"/>
      <c r="C1" s="75"/>
      <c r="D1" s="75"/>
    </row>
    <row r="3" s="74" customFormat="1" spans="1:4">
      <c r="A3" s="74" t="s">
        <v>71</v>
      </c>
      <c r="B3" s="74" t="s">
        <v>0</v>
      </c>
      <c r="C3" s="74" t="s">
        <v>82</v>
      </c>
      <c r="D3" s="74" t="s">
        <v>83</v>
      </c>
    </row>
    <row r="4" spans="1:4">
      <c r="A4">
        <v>1</v>
      </c>
      <c r="B4" t="str" cm="1">
        <f t="array" ref="B4">INDEX(Raw_Data!$A$2:$A$38,MATCH(LARGE(Raw_Data!$D$2:$D$38,A4),Raw_Data!$D$2:$D$38,0))</f>
        <v>Abia</v>
      </c>
      <c r="C4">
        <f>LARGE(Raw_Data!$D$2:$D$38,A4)</f>
        <v>28.4</v>
      </c>
      <c r="D4" s="76">
        <f>C4-AVERAGE(Raw_Data!$D$2:$D$38)</f>
        <v>12.8864864864865</v>
      </c>
    </row>
    <row r="5" spans="1:4">
      <c r="A5">
        <v>2</v>
      </c>
      <c r="B5" t="str" cm="1">
        <f t="array" ref="B5">INDEX(Raw_Data!$A$2:$A$38,MATCH(LARGE(Raw_Data!$D$2:$D$38,A5),Raw_Data!$D$2:$D$38,0))</f>
        <v>FCT</v>
      </c>
      <c r="C5">
        <f>LARGE(Raw_Data!$D$2:$D$38,A5)</f>
        <v>22.8</v>
      </c>
      <c r="D5" s="76">
        <f>C5-AVERAGE(Raw_Data!$D$2:$D$38)</f>
        <v>7.28648648648649</v>
      </c>
    </row>
    <row r="6" spans="1:4">
      <c r="A6">
        <v>3</v>
      </c>
      <c r="B6" t="str" cm="1">
        <f t="array" ref="B6">INDEX(Raw_Data!$A$2:$A$38,MATCH(LARGE(Raw_Data!$D$2:$D$38,A6),Raw_Data!$D$2:$D$38,0))</f>
        <v>Rivers</v>
      </c>
      <c r="C6">
        <f>LARGE(Raw_Data!$D$2:$D$38,A6)</f>
        <v>21.6</v>
      </c>
      <c r="D6" s="76">
        <f>C6-AVERAGE(Raw_Data!$D$2:$D$38)</f>
        <v>6.08648648648649</v>
      </c>
    </row>
    <row r="7" spans="1:4">
      <c r="A7">
        <v>4</v>
      </c>
      <c r="B7" t="str" cm="1">
        <f t="array" ref="B7">INDEX(Raw_Data!$A$2:$A$38,MATCH(LARGE(Raw_Data!$D$2:$D$38,A7),Raw_Data!$D$2:$D$38,0))</f>
        <v>Imo</v>
      </c>
      <c r="C7">
        <f>LARGE(Raw_Data!$D$2:$D$38,A7)</f>
        <v>19.4</v>
      </c>
      <c r="D7" s="76">
        <f>C7-AVERAGE(Raw_Data!$D$2:$D$38)</f>
        <v>3.88648648648649</v>
      </c>
    </row>
    <row r="8" spans="1:4">
      <c r="A8">
        <v>5</v>
      </c>
      <c r="B8" t="str" cm="1">
        <f t="array" ref="B8">INDEX(Raw_Data!$A$2:$A$38,MATCH(LARGE(Raw_Data!$D$2:$D$38,A8),Raw_Data!$D$2:$D$38,0))</f>
        <v>Akwa Ibom</v>
      </c>
      <c r="C8">
        <f>LARGE(Raw_Data!$D$2:$D$38,A8)</f>
        <v>18.5</v>
      </c>
      <c r="D8" s="76">
        <f>C8-AVERAGE(Raw_Data!$D$2:$D$38)</f>
        <v>2.98648648648649</v>
      </c>
    </row>
    <row r="9" spans="1:4">
      <c r="A9">
        <v>6</v>
      </c>
      <c r="B9" t="str" cm="1">
        <f t="array" ref="B9">INDEX(Raw_Data!$A$2:$A$38,MATCH(LARGE(Raw_Data!$D$2:$D$38,A9),Raw_Data!$D$2:$D$38,0))</f>
        <v>Bayelsa</v>
      </c>
      <c r="C9">
        <f>LARGE(Raw_Data!$D$2:$D$38,A9)</f>
        <v>17.8</v>
      </c>
      <c r="D9" s="76">
        <f>C9-AVERAGE(Raw_Data!$D$2:$D$38)</f>
        <v>2.28648648648649</v>
      </c>
    </row>
    <row r="10" spans="1:4">
      <c r="A10">
        <v>7</v>
      </c>
      <c r="B10" t="str" cm="1">
        <f t="array" ref="B10">INDEX(Raw_Data!$A$2:$A$38,MATCH(LARGE(Raw_Data!$D$2:$D$38,A10),Raw_Data!$D$2:$D$38,0))</f>
        <v>Ebonyi</v>
      </c>
      <c r="C10">
        <f>LARGE(Raw_Data!$D$2:$D$38,A10)</f>
        <v>17.2</v>
      </c>
      <c r="D10" s="76">
        <f>C10-AVERAGE(Raw_Data!$D$2:$D$38)</f>
        <v>1.68648648648649</v>
      </c>
    </row>
    <row r="11" spans="1:4">
      <c r="A11">
        <v>8</v>
      </c>
      <c r="B11" t="str" cm="1">
        <f t="array" ref="B11">INDEX(Raw_Data!$A$2:$A$38,MATCH(LARGE(Raw_Data!$D$2:$D$38,A11),Raw_Data!$D$2:$D$38,0))</f>
        <v>Ekiti</v>
      </c>
      <c r="C11">
        <f>LARGE(Raw_Data!$D$2:$D$38,A11)</f>
        <v>17</v>
      </c>
      <c r="D11" s="76">
        <f>C11-AVERAGE(Raw_Data!$D$2:$D$38)</f>
        <v>1.48648648648649</v>
      </c>
    </row>
    <row r="12" spans="1:4">
      <c r="A12">
        <v>9</v>
      </c>
      <c r="B12" t="str" cm="1">
        <f t="array" ref="B12">INDEX(Raw_Data!$A$2:$A$38,MATCH(LARGE(Raw_Data!$D$2:$D$38,A12),Raw_Data!$D$2:$D$38,0))</f>
        <v>Delta</v>
      </c>
      <c r="C12">
        <f>LARGE(Raw_Data!$D$2:$D$38,A12)</f>
        <v>16.4</v>
      </c>
      <c r="D12" s="76">
        <f>C12-AVERAGE(Raw_Data!$D$2:$D$38)</f>
        <v>0.886486486486488</v>
      </c>
    </row>
    <row r="13" spans="1:4">
      <c r="A13">
        <v>10</v>
      </c>
      <c r="B13" t="str" cm="1">
        <f t="array" ref="B13">INDEX(Raw_Data!$A$2:$A$38,MATCH(LARGE(Raw_Data!$D$2:$D$38,A13),Raw_Data!$D$2:$D$38,0))</f>
        <v>Adamawa</v>
      </c>
      <c r="C13">
        <f>LARGE(Raw_Data!$D$2:$D$38,A13)</f>
        <v>16.2</v>
      </c>
      <c r="D13" s="76">
        <f>C13-AVERAGE(Raw_Data!$D$2:$D$38)</f>
        <v>0.686486486486489</v>
      </c>
    </row>
    <row r="14" spans="1:4">
      <c r="A14">
        <v>11</v>
      </c>
      <c r="B14" t="s">
        <v>32</v>
      </c>
      <c r="C14">
        <v>16.1</v>
      </c>
      <c r="D14" s="76">
        <f>C14-AVERAGE(Raw_Data!$D$2:$D$38)</f>
        <v>0.586486486486491</v>
      </c>
    </row>
    <row r="15" spans="1:4">
      <c r="A15">
        <v>12</v>
      </c>
      <c r="B15" t="s">
        <v>27</v>
      </c>
      <c r="C15">
        <v>15.9</v>
      </c>
      <c r="D15" s="76">
        <f>C15-AVERAGE(Raw_Data!$D$2:$D$38)</f>
        <v>0.38648648648649</v>
      </c>
    </row>
    <row r="16" spans="1:4">
      <c r="A16">
        <v>13</v>
      </c>
      <c r="B16" t="s">
        <v>36</v>
      </c>
      <c r="C16">
        <v>15.6</v>
      </c>
      <c r="D16" s="76">
        <f>C16-AVERAGE(Raw_Data!$D$2:$D$38)</f>
        <v>0.0864864864864892</v>
      </c>
    </row>
    <row r="17" spans="1:4">
      <c r="A17">
        <v>14</v>
      </c>
      <c r="B17" t="s">
        <v>67</v>
      </c>
      <c r="C17">
        <v>15.3</v>
      </c>
      <c r="D17" s="76">
        <f>C17-AVERAGE(Raw_Data!$D$2:$D$38)</f>
        <v>-0.21351351351351</v>
      </c>
    </row>
    <row r="18" spans="1:4">
      <c r="A18">
        <v>15</v>
      </c>
      <c r="B18" t="s">
        <v>51</v>
      </c>
      <c r="C18">
        <v>15.2</v>
      </c>
      <c r="D18" s="76">
        <f>C18-AVERAGE(Raw_Data!$D$2:$D$38)</f>
        <v>-0.313513513513511</v>
      </c>
    </row>
    <row r="19" spans="1:4">
      <c r="D19" s="76"/>
    </row>
    <row r="20" spans="1:4">
      <c r="A20" t="s">
        <v>84</v>
      </c>
      <c r="B20" s="77" t="s">
        <v>85</v>
      </c>
    </row>
    <row r="21" spans="1:4">
      <c r="A21" t="s">
        <v>75</v>
      </c>
      <c r="B21" t="str" cm="1">
        <f t="array" ref="B21">INDEX(Raw_Data!$A$2:$A$38,MATCH(MAX(Raw_Data!$D$2:$D$38),Raw_Data!$D$2:$D$38,0))</f>
        <v>Abia</v>
      </c>
    </row>
    <row r="22" spans="1:4">
      <c r="A22" t="s">
        <v>86</v>
      </c>
      <c r="B22">
        <f>COUNTIF(Raw_Data!$D$2:$D$38,"&gt;20")</f>
        <v>3</v>
      </c>
    </row>
  </sheetData>
  <mergeCells count="1">
    <mergeCell ref="A1:D1"/>
  </mergeCells>
  <pageMargins left="0.75" right="0.75" top="1" bottom="1" header="0.5" footer="0.5"/>
  <headerFooter/>
  <ignoredErrors>
    <ignoredError sqref="B1:F1 A2:F22" calculatedColumn="1"/>
  </ignoredErrors>
  <drawing r:id="rId1"/>
  <tableParts count="2">
    <tablePart r:id="rId2"/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48"/>
  <sheetViews>
    <sheetView zoomScale="70" zoomScaleNormal="70" workbookViewId="0">
      <selection activeCell="G23" sqref="G23"/>
    </sheetView>
  </sheetViews>
  <sheetFormatPr defaultColWidth="9.14285714285714" defaultRowHeight="15" outlineLevelCol="4"/>
  <cols>
    <col min="1" max="1" width="11.4285714285714" customWidth="1"/>
    <col min="2" max="2" width="14.7142857142857" customWidth="1"/>
    <col min="3" max="3" width="22.4285714285714" customWidth="1"/>
    <col min="4" max="4" width="27.8571428571429" customWidth="1"/>
    <col min="5" max="5" width="23.2857142857143" customWidth="1"/>
  </cols>
  <sheetData>
    <row r="1" ht="18.75" spans="1:5">
      <c r="A1" s="71" t="s">
        <v>87</v>
      </c>
      <c r="B1" s="71"/>
      <c r="C1" s="71"/>
      <c r="D1" s="71"/>
      <c r="E1" s="71"/>
    </row>
    <row r="3" ht="30" customHeight="1" spans="1:5">
      <c r="A3" s="72" t="s">
        <v>1</v>
      </c>
      <c r="B3" s="72" t="s">
        <v>80</v>
      </c>
      <c r="C3" s="72" t="s">
        <v>88</v>
      </c>
      <c r="D3" s="72" t="s">
        <v>89</v>
      </c>
    </row>
    <row r="4" spans="1:5">
      <c r="A4" t="s">
        <v>13</v>
      </c>
      <c r="B4" s="73">
        <f>AVERAGEIF(Raw_Data!$B$2:$B$38,"North East",Raw_Data!$E$2:$E$38)</f>
        <v>68.85</v>
      </c>
      <c r="C4" s="73">
        <f>AVERAGEIF(Raw_Data!$B$2:$B$38,"North East",Raw_Data!$E$2:$E$38)</f>
        <v>68.85</v>
      </c>
      <c r="D4">
        <f>AVERAGEIF(Raw_Data!$B$2:$B$38,"North East",Raw_Data!$F$2:$F$38)</f>
        <v>21.1166666666667</v>
      </c>
    </row>
    <row r="5" spans="1:5">
      <c r="A5" t="s">
        <v>44</v>
      </c>
      <c r="B5" s="73">
        <f>AVERAGEIF(Raw_Data!$B$2:$B$38,"North West",Raw_Data!$E$2:$E$38)</f>
        <v>71.3714285714286</v>
      </c>
      <c r="C5" s="73">
        <f>AVERAGEIF(Raw_Data!$B$2:$B$38,"North West",Raw_Data!$G$2:$G$38)</f>
        <v>96.3428571428571</v>
      </c>
      <c r="D5">
        <f>AVERAGEIF(Raw_Data!$B$2:$B$38,"North West",Raw_Data!$F$2:$F$38)</f>
        <v>22.3285714285714</v>
      </c>
    </row>
    <row r="6" spans="1:5">
      <c r="A6" t="s">
        <v>24</v>
      </c>
      <c r="B6" s="73">
        <f>AVERAGEIF(Raw_Data!$B$2:$B$38,"North Central",Raw_Data!$E$2:$E$38)</f>
        <v>50.9571428571429</v>
      </c>
      <c r="C6" s="73">
        <f>AVERAGEIF(Raw_Data!$B$2:$B$38,"North Central",Raw_Data!$G$2:$G$38)</f>
        <v>90.7714285714286</v>
      </c>
      <c r="D6">
        <f>AVERAGEIF(Raw_Data!$B$2:$B$38,"North Central",Raw_Data!$F$2:$F$38)</f>
        <v>17.8285714285714</v>
      </c>
    </row>
    <row r="7" spans="1:5">
      <c r="A7" t="s">
        <v>34</v>
      </c>
      <c r="B7" s="73">
        <f>AVERAGEIF(Raw_Data!$B$2:$B$38,"South West",Raw_Data!$E$2:$E$38)</f>
        <v>21.9666666666667</v>
      </c>
      <c r="C7" s="73">
        <f>AVERAGEIF(Raw_Data!$B$2:$B$38,"South West",Raw_Data!$G$2:$G$38)</f>
        <v>85.4833333333333</v>
      </c>
      <c r="D7">
        <f>AVERAGEIF(Raw_Data!$B$2:$B$38,"South West",Raw_Data!$F$2:$F$38)</f>
        <v>12.6166666666667</v>
      </c>
    </row>
    <row r="8" spans="1:5">
      <c r="A8" t="s">
        <v>16</v>
      </c>
      <c r="B8" s="73">
        <f>AVERAGEIF(Raw_Data!$B$2:$B$38,"South South",Raw_Data!$E$2:$E$38)</f>
        <v>28.7833333333333</v>
      </c>
      <c r="C8" s="73">
        <f>AVERAGEIF(Raw_Data!$B$2:$B$38,"South South",Raw_Data!$G$2:$G$38)</f>
        <v>85.7333333333333</v>
      </c>
      <c r="D8">
        <f>AVERAGEIF(Raw_Data!$B$2:$B$38,"South South",Raw_Data!$F$2:$F$38)</f>
        <v>13.35</v>
      </c>
    </row>
    <row r="9" spans="1:5">
      <c r="A9" t="s">
        <v>10</v>
      </c>
      <c r="B9" s="73">
        <f>AVERAGEIF(Raw_Data!$B$2:$B$38,"South East",Raw_Data!$E$2:$E$38)</f>
        <v>37.38</v>
      </c>
      <c r="C9">
        <f>AVERAGEIF(Raw_Data!$B$2:$B$38,"South East",Raw_Data!$G$2:$G$38)</f>
        <v>88.7</v>
      </c>
      <c r="D9">
        <f>AVERAGEIF(Raw_Data!$B$2:$B$38,"South East",Raw_Data!$F$2:$F$38)</f>
        <v>14.38</v>
      </c>
    </row>
    <row r="11" spans="1:5">
      <c r="A11" t="s">
        <v>0</v>
      </c>
      <c r="B11" t="s">
        <v>1</v>
      </c>
      <c r="C11" t="s">
        <v>90</v>
      </c>
      <c r="D11" t="s">
        <v>91</v>
      </c>
      <c r="E11" t="s">
        <v>92</v>
      </c>
    </row>
    <row r="12" spans="1:5">
      <c r="A12" t="str">
        <f>Raw_Data!A2</f>
        <v>Abia</v>
      </c>
      <c r="B12" t="str">
        <f>Raw_Data!B2</f>
        <v>South East</v>
      </c>
      <c r="C12">
        <f>Raw_Data!E2</f>
        <v>34.2</v>
      </c>
      <c r="D12">
        <f>Raw_Data!G2</f>
        <v>88.5</v>
      </c>
      <c r="E12">
        <f>Raw_Data!F2</f>
        <v>14.2</v>
      </c>
    </row>
    <row r="13" spans="1:5">
      <c r="A13" t="str">
        <f>Raw_Data!A3</f>
        <v>Adamawa</v>
      </c>
      <c r="B13" t="str">
        <f>Raw_Data!B3</f>
        <v>North East</v>
      </c>
      <c r="C13">
        <f>Raw_Data!E3</f>
        <v>72.3</v>
      </c>
      <c r="D13">
        <f>Raw_Data!G3</f>
        <v>95.2</v>
      </c>
      <c r="E13">
        <f>Raw_Data!F3</f>
        <v>18.6</v>
      </c>
    </row>
    <row r="14" spans="1:5">
      <c r="A14" t="str">
        <f>Raw_Data!A4</f>
        <v>Akwa Ibom</v>
      </c>
      <c r="B14" t="str">
        <f>Raw_Data!B4</f>
        <v>South South</v>
      </c>
      <c r="C14">
        <f>Raw_Data!E4</f>
        <v>36.8</v>
      </c>
      <c r="D14">
        <f>Raw_Data!G4</f>
        <v>87.6</v>
      </c>
      <c r="E14">
        <f>Raw_Data!F4</f>
        <v>13.8</v>
      </c>
    </row>
    <row r="15" spans="1:5">
      <c r="A15" t="str">
        <f>Raw_Data!A5</f>
        <v>Anambra</v>
      </c>
      <c r="B15" t="str">
        <f>Raw_Data!B5</f>
        <v>South East</v>
      </c>
      <c r="C15">
        <f>Raw_Data!E5</f>
        <v>22.5</v>
      </c>
      <c r="D15">
        <f>Raw_Data!G5</f>
        <v>85.3</v>
      </c>
      <c r="E15">
        <f>Raw_Data!F5</f>
        <v>11.2</v>
      </c>
    </row>
    <row r="16" spans="1:5">
      <c r="A16" t="str">
        <f>Raw_Data!A6</f>
        <v>Bauchi</v>
      </c>
      <c r="B16" t="str">
        <f>Raw_Data!B6</f>
        <v>North East</v>
      </c>
      <c r="C16">
        <f>Raw_Data!E6</f>
        <v>61.9</v>
      </c>
      <c r="D16">
        <f>Raw_Data!G6</f>
        <v>96.1</v>
      </c>
      <c r="E16">
        <f>Raw_Data!F6</f>
        <v>21.4</v>
      </c>
    </row>
    <row r="17" spans="1:5">
      <c r="A17" t="str">
        <f>Raw_Data!A7</f>
        <v>Bayelsa</v>
      </c>
      <c r="B17" t="str">
        <f>Raw_Data!B7</f>
        <v>South South</v>
      </c>
      <c r="C17">
        <f>Raw_Data!E7</f>
        <v>24.9</v>
      </c>
      <c r="D17">
        <f>Raw_Data!G7</f>
        <v>84.7</v>
      </c>
      <c r="E17">
        <f>Raw_Data!F7</f>
        <v>12.6</v>
      </c>
    </row>
    <row r="18" spans="1:5">
      <c r="A18" t="str">
        <f>Raw_Data!A8</f>
        <v>Benue</v>
      </c>
      <c r="B18" t="str">
        <f>Raw_Data!B8</f>
        <v>North Central</v>
      </c>
      <c r="C18">
        <f>Raw_Data!E8</f>
        <v>57.1</v>
      </c>
      <c r="D18">
        <f>Raw_Data!G8</f>
        <v>94.3</v>
      </c>
      <c r="E18">
        <f>Raw_Data!F8</f>
        <v>19.8</v>
      </c>
    </row>
    <row r="19" spans="1:5">
      <c r="A19" t="str">
        <f>Raw_Data!A9</f>
        <v>Borno</v>
      </c>
      <c r="B19" t="str">
        <f>Raw_Data!B9</f>
        <v>North East</v>
      </c>
      <c r="C19">
        <f>Raw_Data!E9</f>
        <v>74.8</v>
      </c>
      <c r="D19">
        <f>Raw_Data!G9</f>
        <v>96.8</v>
      </c>
      <c r="E19">
        <f>Raw_Data!F9</f>
        <v>22.1</v>
      </c>
    </row>
    <row r="20" spans="1:5">
      <c r="A20" t="str">
        <f>Raw_Data!A10</f>
        <v>Cross River</v>
      </c>
      <c r="B20" t="str">
        <f>Raw_Data!B10</f>
        <v>South South</v>
      </c>
      <c r="C20">
        <f>Raw_Data!E10</f>
        <v>50.9</v>
      </c>
      <c r="D20">
        <f>Raw_Data!G10</f>
        <v>91.2</v>
      </c>
      <c r="E20">
        <f>Raw_Data!F10</f>
        <v>16.4</v>
      </c>
    </row>
    <row r="21" spans="1:5">
      <c r="A21" t="str">
        <f>Raw_Data!A11</f>
        <v>Delta</v>
      </c>
      <c r="B21" t="str">
        <f>Raw_Data!B11</f>
        <v>South South</v>
      </c>
      <c r="C21">
        <f>Raw_Data!E11</f>
        <v>19.8</v>
      </c>
      <c r="D21">
        <f>Raw_Data!G11</f>
        <v>83.4</v>
      </c>
      <c r="E21">
        <f>Raw_Data!F11</f>
        <v>12.1</v>
      </c>
    </row>
    <row r="22" spans="1:5">
      <c r="A22" t="str">
        <f>Raw_Data!A12</f>
        <v>Ebonyi</v>
      </c>
      <c r="B22" t="str">
        <f>Raw_Data!B12</f>
        <v>South East</v>
      </c>
      <c r="C22">
        <f>Raw_Data!E12</f>
        <v>66.1</v>
      </c>
      <c r="D22">
        <f>Raw_Data!G12</f>
        <v>93.6</v>
      </c>
      <c r="E22">
        <f>Raw_Data!F12</f>
        <v>17.8</v>
      </c>
    </row>
    <row r="23" spans="1:5">
      <c r="A23" t="str">
        <f>Raw_Data!A13</f>
        <v>Edo</v>
      </c>
      <c r="B23" t="str">
        <f>Raw_Data!B13</f>
        <v>South South</v>
      </c>
      <c r="C23">
        <f>Raw_Data!E13</f>
        <v>29.5</v>
      </c>
      <c r="D23">
        <f>Raw_Data!G13</f>
        <v>86.2</v>
      </c>
      <c r="E23">
        <f>Raw_Data!F13</f>
        <v>13.4</v>
      </c>
    </row>
    <row r="24" spans="1:5">
      <c r="A24" t="str">
        <f>Raw_Data!A14</f>
        <v>Ekiti</v>
      </c>
      <c r="B24" t="str">
        <f>Raw_Data!B14</f>
        <v>South West</v>
      </c>
      <c r="C24">
        <f>Raw_Data!E14</f>
        <v>28.2</v>
      </c>
      <c r="D24">
        <f>Raw_Data!G14</f>
        <v>87.8</v>
      </c>
      <c r="E24">
        <f>Raw_Data!F14</f>
        <v>14.6</v>
      </c>
    </row>
    <row r="25" spans="1:5">
      <c r="A25" t="str">
        <f>Raw_Data!A15</f>
        <v>Enugu</v>
      </c>
      <c r="B25" t="str">
        <f>Raw_Data!B15</f>
        <v>South East</v>
      </c>
      <c r="C25">
        <f>Raw_Data!E15</f>
        <v>36.8</v>
      </c>
      <c r="D25">
        <f>Raw_Data!G15</f>
        <v>87.2</v>
      </c>
      <c r="E25">
        <f>Raw_Data!F15</f>
        <v>13.9</v>
      </c>
    </row>
    <row r="26" spans="1:5">
      <c r="A26" t="str">
        <f>Raw_Data!A16</f>
        <v>FCT</v>
      </c>
      <c r="B26" t="str">
        <f>Raw_Data!B16</f>
        <v>North Central</v>
      </c>
      <c r="C26">
        <f>Raw_Data!E16</f>
        <v>12.4</v>
      </c>
      <c r="D26">
        <f>Raw_Data!G16</f>
        <v>72.4</v>
      </c>
      <c r="E26">
        <f>Raw_Data!F16</f>
        <v>10.3</v>
      </c>
    </row>
    <row r="27" spans="1:5">
      <c r="A27" t="str">
        <f>Raw_Data!A17</f>
        <v>Gombe</v>
      </c>
      <c r="B27" t="str">
        <f>Raw_Data!B17</f>
        <v>North East</v>
      </c>
      <c r="C27">
        <f>Raw_Data!E17</f>
        <v>63.6</v>
      </c>
      <c r="D27">
        <f>Raw_Data!G17</f>
        <v>95.4</v>
      </c>
      <c r="E27">
        <f>Raw_Data!F17</f>
        <v>20.2</v>
      </c>
    </row>
    <row r="28" spans="1:5">
      <c r="A28" t="str">
        <f>Raw_Data!A18</f>
        <v>Imo</v>
      </c>
      <c r="B28" t="str">
        <f>Raw_Data!B18</f>
        <v>South East</v>
      </c>
      <c r="C28">
        <f>Raw_Data!E18</f>
        <v>27.3</v>
      </c>
      <c r="D28">
        <f>Raw_Data!G18</f>
        <v>88.9</v>
      </c>
      <c r="E28">
        <f>Raw_Data!F18</f>
        <v>14.8</v>
      </c>
    </row>
    <row r="29" spans="1:5">
      <c r="A29" t="str">
        <f>Raw_Data!A19</f>
        <v>Jigawa</v>
      </c>
      <c r="B29" t="str">
        <f>Raw_Data!B19</f>
        <v>North West</v>
      </c>
      <c r="C29">
        <f>Raw_Data!E19</f>
        <v>87</v>
      </c>
      <c r="D29">
        <f>Raw_Data!G19</f>
        <v>97.2</v>
      </c>
      <c r="E29">
        <f>Raw_Data!F19</f>
        <v>23.6</v>
      </c>
    </row>
    <row r="30" spans="1:5">
      <c r="A30" t="str">
        <f>Raw_Data!A20</f>
        <v>Kaduna</v>
      </c>
      <c r="B30" t="str">
        <f>Raw_Data!B20</f>
        <v>North West</v>
      </c>
      <c r="C30">
        <f>Raw_Data!E20</f>
        <v>43.3</v>
      </c>
      <c r="D30">
        <f>Raw_Data!G20</f>
        <v>92.8</v>
      </c>
      <c r="E30">
        <f>Raw_Data!F20</f>
        <v>17.4</v>
      </c>
    </row>
    <row r="31" spans="1:5">
      <c r="A31" t="str">
        <f>Raw_Data!A21</f>
        <v>Kano</v>
      </c>
      <c r="B31" t="str">
        <f>Raw_Data!B21</f>
        <v>North West</v>
      </c>
      <c r="C31">
        <f>Raw_Data!E21</f>
        <v>56.6</v>
      </c>
      <c r="D31">
        <f>Raw_Data!G21</f>
        <v>95.6</v>
      </c>
      <c r="E31">
        <f>Raw_Data!F21</f>
        <v>20.8</v>
      </c>
    </row>
    <row r="32" spans="1:5">
      <c r="A32" t="str">
        <f>Raw_Data!A22</f>
        <v>Katsina</v>
      </c>
      <c r="B32" t="str">
        <f>Raw_Data!B22</f>
        <v>North West</v>
      </c>
      <c r="C32">
        <f>Raw_Data!E22</f>
        <v>68.3</v>
      </c>
      <c r="D32">
        <f>Raw_Data!G22</f>
        <v>96.4</v>
      </c>
      <c r="E32">
        <f>Raw_Data!F22</f>
        <v>22.4</v>
      </c>
    </row>
    <row r="33" spans="1:5">
      <c r="A33" t="str">
        <f>Raw_Data!A23</f>
        <v>Kebbi</v>
      </c>
      <c r="B33" t="str">
        <f>Raw_Data!B23</f>
        <v>North West</v>
      </c>
      <c r="C33">
        <f>Raw_Data!E23</f>
        <v>82.9</v>
      </c>
      <c r="D33">
        <f>Raw_Data!G23</f>
        <v>97.5</v>
      </c>
      <c r="E33">
        <f>Raw_Data!F23</f>
        <v>24.1</v>
      </c>
    </row>
    <row r="34" spans="1:5">
      <c r="A34" t="str">
        <f>Raw_Data!A24</f>
        <v>Kogi</v>
      </c>
      <c r="B34" t="str">
        <f>Raw_Data!B24</f>
        <v>North Central</v>
      </c>
      <c r="C34">
        <f>Raw_Data!E24</f>
        <v>53.8</v>
      </c>
      <c r="D34">
        <f>Raw_Data!G24</f>
        <v>93.1</v>
      </c>
      <c r="E34">
        <f>Raw_Data!F24</f>
        <v>18.2</v>
      </c>
    </row>
    <row r="35" spans="1:5">
      <c r="A35" t="str">
        <f>Raw_Data!A25</f>
        <v>Kwara</v>
      </c>
      <c r="B35" t="str">
        <f>Raw_Data!B25</f>
        <v>North Central</v>
      </c>
      <c r="C35">
        <f>Raw_Data!E25</f>
        <v>49.9</v>
      </c>
      <c r="D35">
        <f>Raw_Data!G25</f>
        <v>91.8</v>
      </c>
      <c r="E35">
        <f>Raw_Data!F25</f>
        <v>16.8</v>
      </c>
    </row>
    <row r="36" spans="1:5">
      <c r="A36" t="str">
        <f>Raw_Data!A26</f>
        <v>Lagos</v>
      </c>
      <c r="B36" t="str">
        <f>Raw_Data!B26</f>
        <v>South West</v>
      </c>
      <c r="C36">
        <f>Raw_Data!E26</f>
        <v>4.5</v>
      </c>
      <c r="D36">
        <f>Raw_Data!G26</f>
        <v>78.2</v>
      </c>
      <c r="E36">
        <f>Raw_Data!F26</f>
        <v>8.6</v>
      </c>
    </row>
    <row r="37" spans="1:5">
      <c r="A37" t="str">
        <f>Raw_Data!A27</f>
        <v>Nasarawa</v>
      </c>
      <c r="B37" t="str">
        <f>Raw_Data!B27</f>
        <v>North Central</v>
      </c>
      <c r="C37">
        <f>Raw_Data!E27</f>
        <v>54.4</v>
      </c>
      <c r="D37">
        <f>Raw_Data!G27</f>
        <v>93.8</v>
      </c>
      <c r="E37">
        <f>Raw_Data!F27</f>
        <v>18.9</v>
      </c>
    </row>
    <row r="38" spans="1:5">
      <c r="A38" t="str">
        <f>Raw_Data!A28</f>
        <v>Niger</v>
      </c>
      <c r="B38" t="str">
        <f>Raw_Data!B28</f>
        <v>North Central</v>
      </c>
      <c r="C38">
        <f>Raw_Data!E28</f>
        <v>73.3</v>
      </c>
      <c r="D38">
        <f>Raw_Data!G28</f>
        <v>95.9</v>
      </c>
      <c r="E38">
        <f>Raw_Data!F28</f>
        <v>21.6</v>
      </c>
    </row>
    <row r="39" spans="1:5">
      <c r="A39" t="str">
        <f>Raw_Data!A29</f>
        <v>Ogun</v>
      </c>
      <c r="B39" t="str">
        <f>Raw_Data!B29</f>
        <v>South West</v>
      </c>
      <c r="C39">
        <f>Raw_Data!E29</f>
        <v>16.8</v>
      </c>
      <c r="D39">
        <f>Raw_Data!G29</f>
        <v>84.6</v>
      </c>
      <c r="E39">
        <f>Raw_Data!F29</f>
        <v>11.4</v>
      </c>
    </row>
    <row r="40" spans="1:5">
      <c r="A40" t="str">
        <f>Raw_Data!A30</f>
        <v>Ondo</v>
      </c>
      <c r="B40" t="str">
        <f>Raw_Data!B30</f>
        <v>South West</v>
      </c>
      <c r="C40">
        <f>Raw_Data!E30</f>
        <v>27.9</v>
      </c>
      <c r="D40">
        <f>Raw_Data!G30</f>
        <v>87.4</v>
      </c>
      <c r="E40">
        <f>Raw_Data!F30</f>
        <v>13.8</v>
      </c>
    </row>
    <row r="41" spans="1:5">
      <c r="A41" t="str">
        <f>Raw_Data!A31</f>
        <v>Osun</v>
      </c>
      <c r="B41" t="str">
        <f>Raw_Data!B31</f>
        <v>South West</v>
      </c>
      <c r="C41">
        <f>Raw_Data!E31</f>
        <v>29.8</v>
      </c>
      <c r="D41">
        <f>Raw_Data!G31</f>
        <v>88.1</v>
      </c>
      <c r="E41">
        <f>Raw_Data!F31</f>
        <v>14.2</v>
      </c>
    </row>
    <row r="42" spans="1:5">
      <c r="A42" t="str">
        <f>Raw_Data!A32</f>
        <v>Oyo</v>
      </c>
      <c r="B42" t="str">
        <f>Raw_Data!B32</f>
        <v>South West</v>
      </c>
      <c r="C42">
        <f>Raw_Data!E32</f>
        <v>24.6</v>
      </c>
      <c r="D42">
        <f>Raw_Data!G32</f>
        <v>86.8</v>
      </c>
      <c r="E42">
        <f>Raw_Data!F32</f>
        <v>13.1</v>
      </c>
    </row>
    <row r="43" spans="1:5">
      <c r="A43" t="str">
        <f>Raw_Data!A33</f>
        <v>Plateau</v>
      </c>
      <c r="B43" t="str">
        <f>Raw_Data!B33</f>
        <v>North Central</v>
      </c>
      <c r="C43">
        <f>Raw_Data!E33</f>
        <v>55.8</v>
      </c>
      <c r="D43">
        <f>Raw_Data!G33</f>
        <v>94.1</v>
      </c>
      <c r="E43">
        <f>Raw_Data!F33</f>
        <v>19.2</v>
      </c>
    </row>
    <row r="44" spans="1:5">
      <c r="A44" t="str">
        <f>Raw_Data!A34</f>
        <v>Rivers</v>
      </c>
      <c r="B44" t="str">
        <f>Raw_Data!B34</f>
        <v>South South</v>
      </c>
      <c r="C44">
        <f>Raw_Data!E34</f>
        <v>10.8</v>
      </c>
      <c r="D44">
        <f>Raw_Data!G34</f>
        <v>81.3</v>
      </c>
      <c r="E44">
        <f>Raw_Data!F34</f>
        <v>11.8</v>
      </c>
    </row>
    <row r="45" spans="1:5">
      <c r="A45" t="str">
        <f>Raw_Data!A35</f>
        <v>Sokoto</v>
      </c>
      <c r="B45" t="str">
        <f>Raw_Data!B35</f>
        <v>North West</v>
      </c>
      <c r="C45">
        <f>Raw_Data!E35</f>
        <v>87.7</v>
      </c>
      <c r="D45">
        <f>Raw_Data!G35</f>
        <v>97.8</v>
      </c>
      <c r="E45">
        <f>Raw_Data!F35</f>
        <v>24.8</v>
      </c>
    </row>
    <row r="46" spans="1:5">
      <c r="A46" t="str">
        <f>Raw_Data!A36</f>
        <v>Taraba</v>
      </c>
      <c r="B46" t="str">
        <f>Raw_Data!B36</f>
        <v>North East</v>
      </c>
      <c r="C46">
        <f>Raw_Data!E36</f>
        <v>67.9</v>
      </c>
      <c r="D46">
        <f>Raw_Data!G36</f>
        <v>96.2</v>
      </c>
      <c r="E46">
        <f>Raw_Data!F36</f>
        <v>21.8</v>
      </c>
    </row>
    <row r="47" spans="1:5">
      <c r="A47" t="str">
        <f>Raw_Data!A37</f>
        <v>Yobe</v>
      </c>
      <c r="B47" t="str">
        <f>Raw_Data!B37</f>
        <v>North East</v>
      </c>
      <c r="C47">
        <f>Raw_Data!E37</f>
        <v>72.6</v>
      </c>
      <c r="D47">
        <f>Raw_Data!G37</f>
        <v>96.6</v>
      </c>
      <c r="E47">
        <f>Raw_Data!F37</f>
        <v>22.6</v>
      </c>
    </row>
    <row r="48" spans="1:5">
      <c r="A48" t="str">
        <f>Raw_Data!A38</f>
        <v>Zamfara</v>
      </c>
      <c r="B48" t="str">
        <f>Raw_Data!B38</f>
        <v>North West</v>
      </c>
      <c r="C48">
        <f>Raw_Data!E38</f>
        <v>73.8</v>
      </c>
      <c r="D48">
        <f>Raw_Data!G38</f>
        <v>97.1</v>
      </c>
      <c r="E48">
        <f>Raw_Data!F38</f>
        <v>23.2</v>
      </c>
    </row>
  </sheetData>
  <mergeCells count="1">
    <mergeCell ref="A1:E1"/>
  </mergeCells>
  <pageMargins left="0.75" right="0.75" top="1" bottom="1" header="0.5" footer="0.5"/>
  <headerFooter/>
  <drawing r:id="rId1"/>
  <tableParts count="2">
    <tablePart r:id="rId2"/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autoPageBreaks="0"/>
  </sheetPr>
  <dimension ref="A1:X60"/>
  <sheetViews>
    <sheetView showGridLines="0" showRowColHeaders="0" tabSelected="1" view="pageBreakPreview" zoomScale="55" zoomScaleNormal="60" workbookViewId="0">
      <selection activeCell="W27" sqref="W27"/>
    </sheetView>
  </sheetViews>
  <sheetFormatPr defaultColWidth="9.14285714285714" defaultRowHeight="15"/>
  <sheetData>
    <row r="1" ht="23.25" spans="1:14">
      <c r="A1" s="1" t="s">
        <v>93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3"/>
    </row>
    <row r="2" spans="1:14">
      <c r="A2" s="4" t="s">
        <v>94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6"/>
    </row>
    <row r="3" spans="1:14">
      <c r="A3" s="7"/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9"/>
    </row>
    <row r="4" spans="1:14">
      <c r="A4" s="10" t="s">
        <v>95</v>
      </c>
      <c r="B4" s="11"/>
      <c r="C4" s="12"/>
      <c r="D4" s="13" t="s">
        <v>96</v>
      </c>
      <c r="E4" s="14"/>
      <c r="F4" s="15"/>
      <c r="G4" s="16" t="s">
        <v>97</v>
      </c>
      <c r="H4" s="17"/>
      <c r="I4" s="18"/>
      <c r="J4" s="19" t="s">
        <v>98</v>
      </c>
      <c r="K4" s="20"/>
      <c r="L4" s="21"/>
      <c r="M4" s="8"/>
      <c r="N4" s="9"/>
    </row>
    <row r="5" spans="1:14">
      <c r="A5" s="22"/>
      <c r="B5" s="23"/>
      <c r="C5" s="24"/>
      <c r="D5" s="25"/>
      <c r="E5" s="26"/>
      <c r="F5" s="27"/>
      <c r="G5" s="28"/>
      <c r="H5" s="29"/>
      <c r="I5" s="30"/>
      <c r="J5" s="31"/>
      <c r="K5" s="32"/>
      <c r="L5" s="33"/>
      <c r="M5" s="8"/>
      <c r="N5" s="9"/>
    </row>
    <row r="6" spans="1:14">
      <c r="A6" s="22"/>
      <c r="B6" s="23"/>
      <c r="C6" s="24"/>
      <c r="D6" s="25"/>
      <c r="E6" s="26"/>
      <c r="F6" s="27"/>
      <c r="G6" s="28"/>
      <c r="H6" s="29"/>
      <c r="I6" s="30"/>
      <c r="J6" s="31"/>
      <c r="K6" s="32"/>
      <c r="L6" s="33"/>
      <c r="M6" s="8"/>
      <c r="N6" s="9"/>
    </row>
    <row r="7" spans="1:14">
      <c r="A7" s="34"/>
      <c r="B7" s="35"/>
      <c r="C7" s="36"/>
      <c r="D7" s="37"/>
      <c r="E7" s="38"/>
      <c r="F7" s="39"/>
      <c r="G7" s="28"/>
      <c r="H7" s="40"/>
      <c r="I7" s="30"/>
      <c r="J7" s="31"/>
      <c r="K7" s="41"/>
      <c r="L7" s="33"/>
      <c r="M7" s="8"/>
      <c r="N7" s="9"/>
    </row>
    <row r="8" spans="1:14">
      <c r="A8" s="42" t="s">
        <v>99</v>
      </c>
      <c r="B8" s="43"/>
      <c r="C8" s="43"/>
      <c r="D8" s="43"/>
      <c r="E8" s="43"/>
      <c r="F8" s="44"/>
      <c r="G8" s="45" t="s">
        <v>100</v>
      </c>
      <c r="H8" s="46"/>
      <c r="I8" s="46"/>
      <c r="J8" s="46"/>
      <c r="K8" s="46"/>
      <c r="L8" s="46"/>
      <c r="M8" s="46"/>
      <c r="N8" s="47"/>
    </row>
    <row r="9" spans="1:14">
      <c r="A9" s="48"/>
      <c r="B9" s="49"/>
      <c r="C9" s="49"/>
      <c r="D9" s="49"/>
      <c r="E9" s="49"/>
      <c r="F9" s="50"/>
      <c r="G9" s="51"/>
      <c r="H9" s="49"/>
      <c r="I9" s="49"/>
      <c r="J9" s="49"/>
      <c r="K9" s="49"/>
      <c r="L9" s="49"/>
      <c r="M9" s="49"/>
      <c r="N9" s="52"/>
    </row>
    <row r="10" spans="1:14">
      <c r="A10" s="7"/>
      <c r="B10" s="8"/>
      <c r="C10" s="8"/>
      <c r="D10" s="8"/>
      <c r="E10" s="8"/>
      <c r="F10" s="53"/>
      <c r="G10" s="54"/>
      <c r="H10" s="8"/>
      <c r="I10" s="8"/>
      <c r="J10" s="8"/>
      <c r="K10" s="8"/>
      <c r="L10" s="8"/>
      <c r="M10" s="8"/>
      <c r="N10" s="9"/>
    </row>
    <row r="11" spans="1:14">
      <c r="A11" s="7"/>
      <c r="B11" s="8"/>
      <c r="C11" s="8"/>
      <c r="D11" s="8"/>
      <c r="E11" s="8"/>
      <c r="F11" s="53"/>
      <c r="G11" s="54"/>
      <c r="H11" s="8"/>
      <c r="I11" s="8"/>
      <c r="J11" s="8"/>
      <c r="K11" s="8"/>
      <c r="L11" s="8"/>
      <c r="M11" s="8"/>
      <c r="N11" s="9"/>
    </row>
    <row r="12" spans="1:14">
      <c r="A12" s="7"/>
      <c r="B12" s="8"/>
      <c r="C12" s="8"/>
      <c r="D12" s="8"/>
      <c r="E12" s="8"/>
      <c r="F12" s="53"/>
      <c r="G12" s="54"/>
      <c r="H12" s="8"/>
      <c r="I12" s="8"/>
      <c r="J12" s="8"/>
      <c r="K12" s="8"/>
      <c r="L12" s="8"/>
      <c r="M12" s="8"/>
      <c r="N12" s="9"/>
    </row>
    <row r="13" spans="1:14">
      <c r="A13" s="7"/>
      <c r="B13" s="8"/>
      <c r="C13" s="8"/>
      <c r="D13" s="8"/>
      <c r="E13" s="8"/>
      <c r="F13" s="53"/>
      <c r="G13" s="54"/>
      <c r="H13" s="8"/>
      <c r="I13" s="8"/>
      <c r="J13" s="8"/>
      <c r="K13" s="8"/>
      <c r="L13" s="8"/>
      <c r="M13" s="8"/>
      <c r="N13" s="9"/>
    </row>
    <row r="14" spans="1:14">
      <c r="A14" s="7"/>
      <c r="B14" s="8"/>
      <c r="C14" s="8"/>
      <c r="D14" s="8"/>
      <c r="E14" s="8"/>
      <c r="F14" s="53"/>
      <c r="G14" s="54"/>
      <c r="H14" s="8"/>
      <c r="I14" s="8"/>
      <c r="J14" s="8"/>
      <c r="K14" s="8"/>
      <c r="L14" s="8"/>
      <c r="M14" s="8"/>
      <c r="N14" s="9"/>
    </row>
    <row r="15" spans="1:14">
      <c r="A15" s="7"/>
      <c r="B15" s="8"/>
      <c r="C15" s="8"/>
      <c r="D15" s="8"/>
      <c r="E15" s="8"/>
      <c r="F15" s="53"/>
      <c r="G15" s="54"/>
      <c r="H15" s="8"/>
      <c r="I15" s="8"/>
      <c r="J15" s="8"/>
      <c r="K15" s="8"/>
      <c r="L15" s="8"/>
      <c r="M15" s="8"/>
      <c r="N15" s="9"/>
    </row>
    <row r="16" spans="1:14">
      <c r="A16" s="7"/>
      <c r="B16" s="8"/>
      <c r="C16" s="8"/>
      <c r="D16" s="8"/>
      <c r="E16" s="8"/>
      <c r="F16" s="53"/>
      <c r="G16" s="54"/>
      <c r="H16" s="8"/>
      <c r="I16" s="8"/>
      <c r="J16" s="8"/>
      <c r="K16" s="8"/>
      <c r="L16" s="8"/>
      <c r="M16" s="8"/>
      <c r="N16" s="9"/>
    </row>
    <row r="17" spans="1:14">
      <c r="A17" s="7"/>
      <c r="B17" s="8"/>
      <c r="C17" s="8"/>
      <c r="D17" s="8"/>
      <c r="E17" s="8"/>
      <c r="F17" s="53"/>
      <c r="G17" s="54"/>
      <c r="H17" s="8"/>
      <c r="I17" s="8"/>
      <c r="J17" s="8"/>
      <c r="K17" s="8"/>
      <c r="L17" s="8"/>
      <c r="M17" s="8"/>
      <c r="N17" s="9"/>
    </row>
    <row r="18" spans="1:14">
      <c r="A18" s="7"/>
      <c r="B18" s="8"/>
      <c r="C18" s="8"/>
      <c r="D18" s="8"/>
      <c r="E18" s="8"/>
      <c r="F18" s="53"/>
      <c r="G18" s="54"/>
      <c r="H18" s="8"/>
      <c r="I18" s="8"/>
      <c r="J18" s="8"/>
      <c r="K18" s="8"/>
      <c r="L18" s="8"/>
      <c r="M18" s="8"/>
      <c r="N18" s="9"/>
    </row>
    <row r="19" spans="1:14">
      <c r="A19" s="7"/>
      <c r="B19" s="8"/>
      <c r="C19" s="8"/>
      <c r="D19" s="8"/>
      <c r="E19" s="8"/>
      <c r="F19" s="53"/>
      <c r="G19" s="54"/>
      <c r="H19" s="8"/>
      <c r="I19" s="8"/>
      <c r="J19" s="8"/>
      <c r="K19" s="8"/>
      <c r="L19" s="8"/>
      <c r="M19" s="8"/>
      <c r="N19" s="9"/>
    </row>
    <row r="20" spans="1:14">
      <c r="A20" s="7"/>
      <c r="B20" s="8"/>
      <c r="C20" s="8"/>
      <c r="D20" s="8"/>
      <c r="E20" s="8"/>
      <c r="F20" s="53"/>
      <c r="G20" s="54"/>
      <c r="H20" s="8"/>
      <c r="I20" s="8"/>
      <c r="J20" s="8"/>
      <c r="K20" s="8"/>
      <c r="L20" s="8"/>
      <c r="M20" s="8"/>
      <c r="N20" s="9"/>
    </row>
    <row r="21" spans="1:14">
      <c r="A21" s="7"/>
      <c r="B21" s="8"/>
      <c r="C21" s="8"/>
      <c r="D21" s="8"/>
      <c r="E21" s="8"/>
      <c r="F21" s="53"/>
      <c r="G21" s="54"/>
      <c r="H21" s="8"/>
      <c r="I21" s="8"/>
      <c r="J21" s="8"/>
      <c r="K21" s="8"/>
      <c r="L21" s="8"/>
      <c r="M21" s="8"/>
      <c r="N21" s="9"/>
    </row>
    <row r="22" spans="1:14">
      <c r="A22" s="7"/>
      <c r="B22" s="8"/>
      <c r="C22" s="8"/>
      <c r="D22" s="8"/>
      <c r="E22" s="8"/>
      <c r="F22" s="53"/>
      <c r="G22" s="54"/>
      <c r="H22" s="8"/>
      <c r="I22" s="8"/>
      <c r="J22" s="8"/>
      <c r="K22" s="8"/>
      <c r="L22" s="8"/>
      <c r="M22" s="8"/>
      <c r="N22" s="9"/>
    </row>
    <row r="23" spans="1:14">
      <c r="A23" s="7"/>
      <c r="B23" s="8"/>
      <c r="C23" s="8"/>
      <c r="D23" s="8"/>
      <c r="E23" s="8"/>
      <c r="F23" s="53"/>
      <c r="G23" s="54"/>
      <c r="H23" s="8"/>
      <c r="I23" s="8"/>
      <c r="J23" s="8"/>
      <c r="K23" s="8"/>
      <c r="L23" s="8"/>
      <c r="M23" s="8"/>
      <c r="N23" s="9"/>
    </row>
    <row r="24" spans="1:14">
      <c r="A24" s="7"/>
      <c r="B24" s="8"/>
      <c r="C24" s="8"/>
      <c r="D24" s="8"/>
      <c r="E24" s="8"/>
      <c r="F24" s="53"/>
      <c r="G24" s="54"/>
      <c r="H24" s="8"/>
      <c r="I24" s="8"/>
      <c r="J24" s="8"/>
      <c r="K24" s="8"/>
      <c r="L24" s="8"/>
      <c r="M24" s="8"/>
      <c r="N24" s="9"/>
    </row>
    <row r="25" spans="1:14">
      <c r="A25" s="7"/>
      <c r="B25" s="8"/>
      <c r="C25" s="8"/>
      <c r="D25" s="8"/>
      <c r="E25" s="8"/>
      <c r="F25" s="53"/>
      <c r="G25" s="54"/>
      <c r="H25" s="8"/>
      <c r="I25" s="8"/>
      <c r="J25" s="8"/>
      <c r="K25" s="8"/>
      <c r="L25" s="8"/>
      <c r="M25" s="8"/>
      <c r="N25" s="9"/>
    </row>
    <row r="26" spans="1:14">
      <c r="A26" s="7"/>
      <c r="B26" s="8"/>
      <c r="C26" s="8"/>
      <c r="D26" s="8"/>
      <c r="E26" s="8"/>
      <c r="F26" s="53"/>
      <c r="G26" s="54"/>
      <c r="H26" s="8"/>
      <c r="I26" s="8"/>
      <c r="J26" s="8"/>
      <c r="K26" s="8"/>
      <c r="L26" s="8"/>
      <c r="M26" s="8"/>
      <c r="N26" s="9"/>
    </row>
    <row r="27" spans="1:14">
      <c r="A27" s="7"/>
      <c r="B27" s="8"/>
      <c r="C27" s="8"/>
      <c r="D27" s="8"/>
      <c r="E27" s="8"/>
      <c r="F27" s="53"/>
      <c r="G27" s="54"/>
      <c r="H27" s="8"/>
      <c r="I27" s="8"/>
      <c r="J27" s="8"/>
      <c r="K27" s="8"/>
      <c r="L27" s="8"/>
      <c r="M27" s="8"/>
      <c r="N27" s="9"/>
    </row>
    <row r="28" spans="1:14">
      <c r="A28" s="55"/>
      <c r="B28" s="56"/>
      <c r="C28" s="56"/>
      <c r="D28" s="56"/>
      <c r="E28" s="56"/>
      <c r="F28" s="57"/>
      <c r="G28" s="58"/>
      <c r="H28" s="56"/>
      <c r="I28" s="56"/>
      <c r="J28" s="56"/>
      <c r="K28" s="56"/>
      <c r="L28" s="56"/>
      <c r="M28" s="56"/>
      <c r="N28" s="59"/>
    </row>
    <row r="29" spans="1:14">
      <c r="A29" s="42"/>
      <c r="B29" s="46"/>
      <c r="C29" s="46"/>
      <c r="D29" s="46"/>
      <c r="E29" s="46"/>
      <c r="F29" s="60"/>
      <c r="G29" s="45" t="s">
        <v>101</v>
      </c>
      <c r="H29" s="46"/>
      <c r="I29" s="46"/>
      <c r="J29" s="46"/>
      <c r="K29" s="46"/>
      <c r="L29" s="46"/>
      <c r="M29" s="46"/>
      <c r="N29" s="47"/>
    </row>
    <row r="30" spans="1:14">
      <c r="A30" s="48"/>
      <c r="B30" s="49"/>
      <c r="C30" s="49"/>
      <c r="D30" s="49"/>
      <c r="E30" s="49"/>
      <c r="F30" s="50"/>
      <c r="G30" s="51"/>
      <c r="H30" s="49"/>
      <c r="I30" s="49"/>
      <c r="J30" s="49"/>
      <c r="K30" s="49"/>
      <c r="L30" s="49"/>
      <c r="M30" s="49"/>
      <c r="N30" s="52"/>
    </row>
    <row r="31" spans="1:14">
      <c r="A31" s="7"/>
      <c r="B31" s="8"/>
      <c r="C31" s="8"/>
      <c r="D31" s="8"/>
      <c r="E31" s="8"/>
      <c r="F31" s="53"/>
      <c r="G31" s="54"/>
      <c r="H31" s="8"/>
      <c r="I31" s="8"/>
      <c r="J31" s="8"/>
      <c r="K31" s="8"/>
      <c r="L31" s="8"/>
      <c r="M31" s="8"/>
      <c r="N31" s="9"/>
    </row>
    <row r="32" spans="1:14">
      <c r="A32" s="7"/>
      <c r="B32" s="8"/>
      <c r="C32" s="8"/>
      <c r="D32" s="8"/>
      <c r="E32" s="8"/>
      <c r="F32" s="53"/>
      <c r="G32" s="54"/>
      <c r="H32" s="8"/>
      <c r="I32" s="8"/>
      <c r="J32" s="8"/>
      <c r="K32" s="8"/>
      <c r="L32" s="8"/>
      <c r="M32" s="8"/>
      <c r="N32" s="9"/>
    </row>
    <row r="33" spans="1:24">
      <c r="A33" s="7"/>
      <c r="B33" s="8"/>
      <c r="C33" s="8"/>
      <c r="D33" s="8"/>
      <c r="E33" s="8"/>
      <c r="F33" s="53"/>
      <c r="G33" s="54"/>
      <c r="H33" s="8"/>
      <c r="I33" s="8"/>
      <c r="J33" s="8"/>
      <c r="K33" s="8"/>
      <c r="L33" s="8"/>
      <c r="M33" s="8"/>
      <c r="N33" s="9"/>
    </row>
    <row r="34" spans="1:24">
      <c r="A34" s="7"/>
      <c r="B34" s="8"/>
      <c r="C34" s="8"/>
      <c r="D34" s="8"/>
      <c r="E34" s="8"/>
      <c r="F34" s="53"/>
      <c r="G34" s="54"/>
      <c r="H34" s="8"/>
      <c r="I34" s="8"/>
      <c r="J34" s="8"/>
      <c r="K34" s="8"/>
      <c r="L34" s="8"/>
      <c r="M34" s="8"/>
      <c r="N34" s="9"/>
    </row>
    <row r="35" spans="1:24">
      <c r="A35" s="7"/>
      <c r="B35" s="8"/>
      <c r="C35" s="8"/>
      <c r="D35" s="8"/>
      <c r="E35" s="8"/>
      <c r="F35" s="53"/>
      <c r="G35" s="54"/>
      <c r="H35" s="8"/>
      <c r="I35" s="8"/>
      <c r="J35" s="8"/>
      <c r="K35" s="8"/>
      <c r="L35" s="8"/>
      <c r="M35" s="8"/>
      <c r="N35" s="9"/>
    </row>
    <row r="36" spans="1:24">
      <c r="A36" s="7"/>
      <c r="B36" s="8"/>
      <c r="C36" s="8"/>
      <c r="D36" s="8"/>
      <c r="E36" s="8"/>
      <c r="F36" s="53"/>
      <c r="G36" s="54"/>
      <c r="H36" s="8"/>
      <c r="I36" s="8"/>
      <c r="J36" s="8"/>
      <c r="K36" s="8"/>
      <c r="L36" s="8"/>
      <c r="M36" s="8"/>
      <c r="N36" s="9"/>
    </row>
    <row r="37" spans="1:24">
      <c r="A37" s="7"/>
      <c r="B37" s="8"/>
      <c r="C37" s="8"/>
      <c r="D37" s="8"/>
      <c r="E37" s="8"/>
      <c r="F37" s="53"/>
      <c r="G37" s="54"/>
      <c r="H37" s="8"/>
      <c r="I37" s="8"/>
      <c r="J37" s="8"/>
      <c r="K37" s="8"/>
      <c r="L37" s="8"/>
      <c r="M37" s="8"/>
      <c r="N37" s="9"/>
    </row>
    <row r="38" spans="1:24">
      <c r="A38" s="7"/>
      <c r="B38" s="8"/>
      <c r="C38" s="8"/>
      <c r="D38" s="8"/>
      <c r="E38" s="8"/>
      <c r="F38" s="53"/>
      <c r="G38" s="54"/>
      <c r="H38" s="8"/>
      <c r="I38" s="8"/>
      <c r="J38" s="8"/>
      <c r="K38" s="8"/>
      <c r="L38" s="8"/>
      <c r="M38" s="8"/>
      <c r="N38" s="9"/>
    </row>
    <row r="39" spans="1:24">
      <c r="A39" s="7"/>
      <c r="B39" s="8"/>
      <c r="C39" s="8"/>
      <c r="D39" s="8"/>
      <c r="E39" s="8"/>
      <c r="F39" s="53"/>
      <c r="G39" s="54"/>
      <c r="H39" s="8"/>
      <c r="I39" s="8"/>
      <c r="J39" s="8"/>
      <c r="K39" s="8"/>
      <c r="L39" s="8"/>
      <c r="M39" s="8"/>
      <c r="N39" s="9"/>
    </row>
    <row r="40" spans="1:24">
      <c r="A40" s="7"/>
      <c r="B40" s="8"/>
      <c r="C40" s="8"/>
      <c r="D40" s="8"/>
      <c r="E40" s="8"/>
      <c r="F40" s="53"/>
      <c r="G40" s="54"/>
      <c r="H40" s="8"/>
      <c r="I40" s="8"/>
      <c r="J40" s="8"/>
      <c r="K40" s="8"/>
      <c r="L40" s="8"/>
      <c r="M40" s="8"/>
      <c r="N40" s="9"/>
    </row>
    <row r="41" spans="1:24">
      <c r="A41" s="7"/>
      <c r="B41" s="8"/>
      <c r="C41" s="8"/>
      <c r="D41" s="8"/>
      <c r="E41" s="8"/>
      <c r="F41" s="53"/>
      <c r="G41" s="54"/>
      <c r="H41" s="8"/>
      <c r="I41" s="8"/>
      <c r="J41" s="8"/>
      <c r="K41" s="8"/>
      <c r="L41" s="8"/>
      <c r="M41" s="8"/>
      <c r="N41" s="9"/>
    </row>
    <row r="42" spans="1:24">
      <c r="A42" s="7"/>
      <c r="B42" s="8"/>
      <c r="C42" s="8"/>
      <c r="D42" s="8"/>
      <c r="E42" s="8"/>
      <c r="F42" s="53"/>
      <c r="G42" s="54"/>
      <c r="H42" s="8"/>
      <c r="I42" s="8"/>
      <c r="J42" s="8"/>
      <c r="K42" s="8"/>
      <c r="L42" s="8"/>
      <c r="M42" s="8"/>
      <c r="N42" s="9"/>
    </row>
    <row r="43" spans="1:24">
      <c r="A43" s="7"/>
      <c r="B43" s="8"/>
      <c r="C43" s="8"/>
      <c r="D43" s="8"/>
      <c r="E43" s="8"/>
      <c r="F43" s="53"/>
      <c r="G43" s="54"/>
      <c r="H43" s="8"/>
      <c r="I43" s="8"/>
      <c r="J43" s="8"/>
      <c r="K43" s="8"/>
      <c r="L43" s="8"/>
      <c r="M43" s="8"/>
      <c r="N43" s="9"/>
    </row>
    <row r="44" spans="1:24">
      <c r="A44" s="7"/>
      <c r="B44" s="8"/>
      <c r="C44" s="8"/>
      <c r="D44" s="8"/>
      <c r="E44" s="8"/>
      <c r="F44" s="53"/>
      <c r="G44" s="54"/>
      <c r="H44" s="8"/>
      <c r="I44" s="8"/>
      <c r="J44" s="8"/>
      <c r="K44" s="8"/>
      <c r="L44" s="8"/>
      <c r="M44" s="8"/>
      <c r="N44" s="9"/>
    </row>
    <row r="45" spans="1:24">
      <c r="A45" s="55"/>
      <c r="B45" s="56"/>
      <c r="C45" s="56"/>
      <c r="D45" s="56"/>
      <c r="E45" s="56"/>
      <c r="F45" s="57"/>
      <c r="G45" s="58"/>
      <c r="H45" s="56"/>
      <c r="I45" s="56"/>
      <c r="J45" s="56"/>
      <c r="K45" s="56"/>
      <c r="L45" s="56"/>
      <c r="M45" s="56"/>
      <c r="N45" s="59"/>
    </row>
    <row r="46" spans="1:24">
      <c r="A46" s="61" t="s">
        <v>102</v>
      </c>
      <c r="B46" s="62"/>
      <c r="C46" s="62"/>
      <c r="D46" s="62"/>
      <c r="E46" s="62"/>
      <c r="F46" s="62"/>
      <c r="G46" s="62"/>
      <c r="H46" s="62"/>
      <c r="I46" s="62"/>
      <c r="J46" s="62"/>
      <c r="K46" s="62"/>
      <c r="L46" s="62"/>
      <c r="M46" s="62"/>
      <c r="N46" s="63"/>
    </row>
    <row r="47" spans="1:24">
      <c r="A47" s="64"/>
      <c r="N47" s="65"/>
    </row>
    <row r="48" spans="1:24">
      <c r="A48" s="64"/>
      <c r="N48" s="65"/>
      <c r="X48" s="66"/>
    </row>
    <row r="49" spans="1:24">
      <c r="A49" s="64"/>
      <c r="N49" s="65"/>
      <c r="X49" s="67"/>
    </row>
    <row r="50" spans="1:24">
      <c r="A50" s="64"/>
      <c r="N50" s="65"/>
    </row>
    <row r="51" spans="1:24">
      <c r="A51" s="64"/>
      <c r="N51" s="65"/>
    </row>
    <row r="52" spans="1:24">
      <c r="A52" s="64"/>
      <c r="N52" s="65"/>
    </row>
    <row r="53" spans="1:24">
      <c r="A53" s="64"/>
      <c r="N53" s="65"/>
    </row>
    <row r="54" spans="1:24">
      <c r="A54" s="64"/>
      <c r="N54" s="65"/>
    </row>
    <row r="55" spans="1:24">
      <c r="A55" s="64"/>
      <c r="N55" s="65"/>
    </row>
    <row r="56" spans="1:24">
      <c r="A56" s="64"/>
      <c r="N56" s="65"/>
    </row>
    <row r="57" spans="1:24">
      <c r="A57" s="64"/>
      <c r="N57" s="65"/>
    </row>
    <row r="58" spans="1:24">
      <c r="A58" s="64"/>
      <c r="N58" s="65"/>
    </row>
    <row r="59" spans="1:24">
      <c r="A59" s="64"/>
      <c r="N59" s="65"/>
    </row>
    <row r="60" ht="15.75" spans="1:24">
      <c r="A60" s="68" t="s">
        <v>103</v>
      </c>
      <c r="B60" s="69"/>
      <c r="C60" s="69"/>
      <c r="D60" s="69"/>
      <c r="E60" s="69"/>
      <c r="F60" s="69"/>
      <c r="G60" s="69"/>
      <c r="H60" s="69"/>
      <c r="I60" s="69"/>
      <c r="J60" s="69"/>
      <c r="K60" s="69"/>
      <c r="L60" s="69"/>
      <c r="M60" s="69"/>
      <c r="N60" s="70"/>
    </row>
  </sheetData>
  <mergeCells count="18">
    <mergeCell ref="A1:N1"/>
    <mergeCell ref="A2:N2"/>
    <mergeCell ref="A3:L3"/>
    <mergeCell ref="A8:F8"/>
    <mergeCell ref="G8:N8"/>
    <mergeCell ref="A29:F29"/>
    <mergeCell ref="G29:N29"/>
    <mergeCell ref="A46:N46"/>
    <mergeCell ref="A60:N60"/>
    <mergeCell ref="A4:C7"/>
    <mergeCell ref="D4:F7"/>
    <mergeCell ref="G4:I7"/>
    <mergeCell ref="J4:L7"/>
    <mergeCell ref="A9:F28"/>
    <mergeCell ref="G9:N28"/>
    <mergeCell ref="A30:F45"/>
    <mergeCell ref="G30:N45"/>
    <mergeCell ref="M3:N7"/>
  </mergeCells>
  <pageMargins left="0.25" right="0.25" top="0.75" bottom="0.75" header="0.3" footer="0.3"/>
  <pageSetup paperSize="1" orientation="landscape" horizontalDpi="600"/>
  <headerFooter/>
  <ignoredErrors>
    <ignoredError sqref="A5:N7 K4:N4 H4:I4 E4:F4 B4:C4 A1:N3" numberStoredAsText="1"/>
  </ignoredError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Raw_Data</vt:lpstr>
      <vt:lpstr>Q1 Analysis</vt:lpstr>
      <vt:lpstr>Q2 Analysis</vt:lpstr>
      <vt:lpstr>Q3 Analysis</vt:lpstr>
      <vt:lpstr>Q4 Analysis</vt:lpstr>
      <vt:lpstr>Dashboard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Nashemm001</cp:lastModifiedBy>
  <dcterms:created xsi:type="dcterms:W3CDTF">2026-06-04T18:05:00Z</dcterms:created>
  <dcterms:modified xsi:type="dcterms:W3CDTF">2026-06-09T11:18:01Z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77085BD2835143129C9C1942B4171334_13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